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varsh\Downloads\"/>
    </mc:Choice>
  </mc:AlternateContent>
  <xr:revisionPtr revIDLastSave="0" documentId="8_{E3A1EEDA-9582-4196-A598-14E24E0B5668}" xr6:coauthVersionLast="47" xr6:coauthVersionMax="47" xr10:uidLastSave="{00000000-0000-0000-0000-000000000000}"/>
  <bookViews>
    <workbookView xWindow="-108" yWindow="-108" windowWidth="23256" windowHeight="12456" tabRatio="746" xr2:uid="{5FBAAE2D-F66E-406C-AFAD-7C1DC18842A4}"/>
  </bookViews>
  <sheets>
    <sheet name="vrinda store Report 2022" sheetId="3" r:id="rId1"/>
    <sheet name="Sales vs orders" sheetId="2" r:id="rId2"/>
    <sheet name="Men Vs Women" sheetId="4" r:id="rId3"/>
    <sheet name="Order Status" sheetId="5" r:id="rId4"/>
    <sheet name="Sales  top 5 state" sheetId="7" r:id="rId5"/>
    <sheet name="AgeAnd Gender" sheetId="8" r:id="rId6"/>
    <sheet name="Channel" sheetId="9" r:id="rId7"/>
    <sheet name="Sheet1" sheetId="1" r:id="rId8"/>
  </sheets>
  <definedNames>
    <definedName name="Slicer_Category">#N/A</definedName>
    <definedName name="Slicer_Channel">#N/A</definedName>
    <definedName name="Slice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 i="1"/>
  <c r="A2" i="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<sst xmlns="http://schemas.openxmlformats.org/spreadsheetml/2006/main" count="1868" uniqueCount="683">
  <si>
    <t>index</t>
  </si>
  <si>
    <t>Order ID</t>
  </si>
  <si>
    <t>183-4928173-8304927</t>
  </si>
  <si>
    <t>271-8304921-1948273</t>
  </si>
  <si>
    <t>356-1928374-5849201</t>
  </si>
  <si>
    <t>149-5839204-2938471</t>
  </si>
  <si>
    <t>402-2948573-8392014</t>
  </si>
  <si>
    <t>198-7304928-4029387</t>
  </si>
  <si>
    <t>317-9203847-5839201</t>
  </si>
  <si>
    <t>264-5830294-9203841</t>
  </si>
  <si>
    <t>451-8392017-2948571</t>
  </si>
  <si>
    <t>309-2948570-7304921</t>
  </si>
  <si>
    <t>172-9203845-5830291</t>
  </si>
  <si>
    <t>388-7304923-1928375</t>
  </si>
  <si>
    <t>225-4029381-8392016</t>
  </si>
  <si>
    <t>491-5839207-2948579</t>
  </si>
  <si>
    <t>367-1928371-7304929</t>
  </si>
  <si>
    <t>154-8392012-4029386</t>
  </si>
  <si>
    <t>298-2948576-5830297</t>
  </si>
  <si>
    <t>412-7304926-9203842</t>
  </si>
  <si>
    <t>271-4029389-1928378</t>
  </si>
  <si>
    <t>359-5830292-8392019</t>
  </si>
  <si>
    <t>487-9203849-2948572</t>
  </si>
  <si>
    <t>146-1928370-4029384</t>
  </si>
  <si>
    <t>324-8392015-7304924</t>
  </si>
  <si>
    <t>278-2948578-5839206</t>
  </si>
  <si>
    <t>391-7304927-1928376</t>
  </si>
  <si>
    <t>465-4029382-8392018</t>
  </si>
  <si>
    <t>182-5830298-2948573</t>
  </si>
  <si>
    <t>337-9203843-7304922</t>
  </si>
  <si>
    <t>254-1928379-4029380</t>
  </si>
  <si>
    <t>419-8392013-5839209</t>
  </si>
  <si>
    <t>301-2948571-9203846</t>
  </si>
  <si>
    <t>476-7304925-1928372</t>
  </si>
  <si>
    <t>169-4029385-8392011</t>
  </si>
  <si>
    <t>358-5839202-2948577</t>
  </si>
  <si>
    <t>421-1928373-7304928</t>
  </si>
  <si>
    <t>287-9203848-4029383</t>
  </si>
  <si>
    <t>344-8392010-5830296</t>
  </si>
  <si>
    <t>195-2948574-1928377</t>
  </si>
  <si>
    <t>468-7304920-9203844</t>
  </si>
  <si>
    <t>213-4029388-5839208</t>
  </si>
  <si>
    <t>389-1928374-2948579</t>
  </si>
  <si>
    <t>456-8392014-7304923</t>
  </si>
  <si>
    <t>172-5830291-4029386</t>
  </si>
  <si>
    <t>335-9203841-1928375</t>
  </si>
  <si>
    <t>298-7304929-2948576</t>
  </si>
  <si>
    <t>467-4029381-8392017</t>
  </si>
  <si>
    <t>184-5839203-1928378</t>
  </si>
  <si>
    <t>351-2948570-7304924</t>
  </si>
  <si>
    <t>409-9203847-4029389</t>
  </si>
  <si>
    <t>276-1928372-5830299</t>
  </si>
  <si>
    <t>438-8392019-2948575</t>
  </si>
  <si>
    <t>191-7304926-9203842</t>
  </si>
  <si>
    <t>364-4029387-1928371</t>
  </si>
  <si>
    <t>452-5839206-8392012</t>
  </si>
  <si>
    <t>217-2948573-7304921</t>
  </si>
  <si>
    <t>389-9203849-4029380</t>
  </si>
  <si>
    <t>165-1928376-5830294</t>
  </si>
  <si>
    <t>341-8392016-2948578</t>
  </si>
  <si>
    <t>478-7304927-4029385</t>
  </si>
  <si>
    <t>206-5839201-1928379</t>
  </si>
  <si>
    <t>357-2948572-9203845</t>
  </si>
  <si>
    <t>419-4029383-8392010</t>
  </si>
  <si>
    <t>283-1928374-7304925</t>
  </si>
  <si>
    <t>466-5830297-2948571</t>
  </si>
  <si>
    <t>198-9203846-4029388</t>
  </si>
  <si>
    <t>352-8392018-1928370</t>
  </si>
  <si>
    <t>427-2948579-5839204</t>
  </si>
  <si>
    <t>169-7304922-9203841</t>
  </si>
  <si>
    <t>381-4029386-1928377</t>
  </si>
  <si>
    <t>244-5830293-8392015</t>
  </si>
  <si>
    <t>498-9203848-2948576</t>
  </si>
  <si>
    <t>315-1928371-4029389</t>
  </si>
  <si>
    <t>461-8392013-7304928</t>
  </si>
  <si>
    <t>187-5839209-2948572</t>
  </si>
  <si>
    <t>369-4029384-9203843</t>
  </si>
  <si>
    <t>254-1928378-7304920</t>
  </si>
  <si>
    <t>421-5830296-8392011</t>
  </si>
  <si>
    <t>308-2948575-4029382</t>
  </si>
  <si>
    <t>472-9203847-1928373</t>
  </si>
  <si>
    <t>195-7304924-5839205</t>
  </si>
  <si>
    <t>364-8392017-4029380</t>
  </si>
  <si>
    <t>218-1928379-2948574</t>
  </si>
  <si>
    <t>487-5830298-9203842</t>
  </si>
  <si>
    <t>331-4029381-7304926</t>
  </si>
  <si>
    <t>176-2948578-1928375</t>
  </si>
  <si>
    <t>459-8392019-5839203</t>
  </si>
  <si>
    <t>292-9203845-4029387</t>
  </si>
  <si>
    <t>348-1928370-7304929</t>
  </si>
  <si>
    <t>415-5830292-2948571</t>
  </si>
  <si>
    <t>267-4029389-8392014</t>
  </si>
  <si>
    <t>491-7304921-9203846</t>
  </si>
  <si>
    <t>189-2948576-5839208</t>
  </si>
  <si>
    <t>354-1928377-4029385</t>
  </si>
  <si>
    <t>438-8392012-7304927</t>
  </si>
  <si>
    <t>205-5830295-9203841</t>
  </si>
  <si>
    <t>371-4029383-1928374</t>
  </si>
  <si>
    <t>496-2948579-7304923</t>
  </si>
  <si>
    <t>318-9203848-5839202</t>
  </si>
  <si>
    <t>162-1928371-4029380</t>
  </si>
  <si>
    <t>429-8392016-2948575</t>
  </si>
  <si>
    <t>281-7304926-5830299</t>
  </si>
  <si>
    <t>467-4029387-9203844</t>
  </si>
  <si>
    <t>193-2948572-1928378</t>
  </si>
  <si>
    <t>356-8392011-7304924</t>
  </si>
  <si>
    <t>418-5839206-4029381</t>
  </si>
  <si>
    <t>249-9203849-2948577</t>
  </si>
  <si>
    <t>372-1928373-7304928</t>
  </si>
  <si>
    <t>485-4029384-5830296</t>
  </si>
  <si>
    <t>167-2948571-9203842</t>
  </si>
  <si>
    <t>339-8392018-1928376</t>
  </si>
  <si>
    <t>452-7304925-4029389</t>
  </si>
  <si>
    <t>218-5839207-2948578</t>
  </si>
  <si>
    <t>391-9203843-1928370</t>
  </si>
  <si>
    <t>274-4029382-7304921</t>
  </si>
  <si>
    <t>466-2948574-5830291</t>
  </si>
  <si>
    <t>199-8392015-9203846</t>
  </si>
  <si>
    <t>358-1928379-4029388</t>
  </si>
  <si>
    <t>427-7304929-5839204</t>
  </si>
  <si>
    <t>184-2948576-1928372</t>
  </si>
  <si>
    <t>495-4029385-8392010</t>
  </si>
  <si>
    <t>321-5830297-9203848</t>
  </si>
  <si>
    <t>173-1928374-7304926</t>
  </si>
  <si>
    <t>449-2948573-4029381</t>
  </si>
  <si>
    <t>286-8392017-5839209</t>
  </si>
  <si>
    <t>471-9203845-1928371</t>
  </si>
  <si>
    <t>215-4029386-7304923</t>
  </si>
  <si>
    <t>364-2948579-5830292</t>
  </si>
  <si>
    <t>498-1928378-8392014</t>
  </si>
  <si>
    <t>337-7304920-4029387</t>
  </si>
  <si>
    <t>181-5839201-9203842</t>
  </si>
  <si>
    <t>456-2948575-1928376</t>
  </si>
  <si>
    <t>309-8392019-7304924</t>
  </si>
  <si>
    <t>267-4029380-5830298</t>
  </si>
  <si>
    <t>489-1928373-9203847</t>
  </si>
  <si>
    <t>224-7304928-2948571</t>
  </si>
  <si>
    <t>371-8392012-4029384</t>
  </si>
  <si>
    <t>195-5839206-1928377</t>
  </si>
  <si>
    <t>452-2948578-7304921</t>
  </si>
  <si>
    <t>318-9203849-4029385</t>
  </si>
  <si>
    <t>167-1928370-5830293</t>
  </si>
  <si>
    <t>439-8392016-2948574</t>
  </si>
  <si>
    <t>284-7304926-9203841</t>
  </si>
  <si>
    <t>497-4029388-1928379</t>
  </si>
  <si>
    <t>231-2948572-5839207</t>
  </si>
  <si>
    <t>366-8392011-7304923</t>
  </si>
  <si>
    <t>179-1928375-2948579</t>
  </si>
  <si>
    <t>451-5830296-8392018</t>
  </si>
  <si>
    <t>307-7304929-4029381</t>
  </si>
  <si>
    <t>268-2948576-9203843</t>
  </si>
  <si>
    <t>493-1928371-5839205</t>
  </si>
  <si>
    <t>224-8392014-7304927</t>
  </si>
  <si>
    <t>372-4029389-2948571</t>
  </si>
  <si>
    <t>186-9203848-1928376</t>
  </si>
  <si>
    <t>459-5830292-7304924</t>
  </si>
  <si>
    <t>982-46879649-132839</t>
  </si>
  <si>
    <t>459-5830292-7304925</t>
  </si>
  <si>
    <t>459-5830292-7304926</t>
  </si>
  <si>
    <t>459-5830292-7304927</t>
  </si>
  <si>
    <t>459-5830292-7304928</t>
  </si>
  <si>
    <t>459-5830292-7304929</t>
  </si>
  <si>
    <t>459-5830292-7304930</t>
  </si>
  <si>
    <t>459-5830292-7304935</t>
  </si>
  <si>
    <t>459-5830292-7304936</t>
  </si>
  <si>
    <t>459-5830292-7304937</t>
  </si>
  <si>
    <t>459-5830292-7304938</t>
  </si>
  <si>
    <t>459-5830292-7304939</t>
  </si>
  <si>
    <t>459-5830292-7304940</t>
  </si>
  <si>
    <t>459-5830292-7304941</t>
  </si>
  <si>
    <t>459-5830292-7304942</t>
  </si>
  <si>
    <t>459-5830292-7304943</t>
  </si>
  <si>
    <t>459-5830292-7304944</t>
  </si>
  <si>
    <t>429-6738792-7304934</t>
  </si>
  <si>
    <t>427-5830292-7304933</t>
  </si>
  <si>
    <t>423-5830292-7304932</t>
  </si>
  <si>
    <t>489-5830292-7304931</t>
  </si>
  <si>
    <t>469-9203841-2948577</t>
  </si>
  <si>
    <t>386-4029385-8392019</t>
  </si>
  <si>
    <t>302-1928373-7304929</t>
  </si>
  <si>
    <t>421-5830292-2948572</t>
  </si>
  <si>
    <t>357-8392011-4029380</t>
  </si>
  <si>
    <t>278-2948575-1928376</t>
  </si>
  <si>
    <t>493-7304927-9203844</t>
  </si>
  <si>
    <t>364-4029386-5839205</t>
  </si>
  <si>
    <t>217-1928370-8392012</t>
  </si>
  <si>
    <t>480-2948578-7304923</t>
  </si>
  <si>
    <t>389-9203847-4029388</t>
  </si>
  <si>
    <t>305-8392015-1928379</t>
  </si>
  <si>
    <t>472-5830297-2948571</t>
  </si>
  <si>
    <t>330-7304920-4029381</t>
  </si>
  <si>
    <t>464-327692-29979</t>
  </si>
  <si>
    <t>455-329084-23890</t>
  </si>
  <si>
    <t>361-8392020-4029386</t>
  </si>
  <si>
    <t>278-2948573-9203849</t>
  </si>
  <si>
    <t>417-1928374-7304925</t>
  </si>
  <si>
    <t>399-5839208-2948576</t>
  </si>
  <si>
    <t>284-4029389-8392011</t>
  </si>
  <si>
    <t>362-7304922-1928377</t>
  </si>
  <si>
    <t>425-2948579-5830295</t>
  </si>
  <si>
    <t>451-8392015-7304927</t>
  </si>
  <si>
    <t>187-5830293-2948571</t>
  </si>
  <si>
    <t>Cust ID</t>
  </si>
  <si>
    <t>Gender</t>
  </si>
  <si>
    <t>Women</t>
  </si>
  <si>
    <t>Men</t>
  </si>
  <si>
    <t>Age</t>
  </si>
  <si>
    <t>Date</t>
  </si>
  <si>
    <t>Status</t>
  </si>
  <si>
    <t>Delivered</t>
  </si>
  <si>
    <t>Cancelled</t>
  </si>
  <si>
    <t>Refund</t>
  </si>
  <si>
    <t>Channel</t>
  </si>
  <si>
    <t>Amazon</t>
  </si>
  <si>
    <t>Flipkart</t>
  </si>
  <si>
    <t>Ajio</t>
  </si>
  <si>
    <t>Myntra</t>
  </si>
  <si>
    <t>Meesho</t>
  </si>
  <si>
    <t>Other</t>
  </si>
  <si>
    <t>SKU</t>
  </si>
  <si>
    <t>JNE1001-RED-KR-001-M</t>
  </si>
  <si>
    <t>SET415-BLUE-KR-002-L</t>
  </si>
  <si>
    <t>JNE1002-GREEN-KR-003-XL</t>
  </si>
  <si>
    <t>SET416-YELLOW-KR-004-S</t>
  </si>
  <si>
    <t>JNE1003-BLACK-KR-005-M</t>
  </si>
  <si>
    <t>SET417-WHITE-KR-006-L</t>
  </si>
  <si>
    <t>JNE1004-PINK-KR-007-XL</t>
  </si>
  <si>
    <t>SET418-GRAY-KR-008-S</t>
  </si>
  <si>
    <t>JNE1005-BROWN-KR-009-M</t>
  </si>
  <si>
    <t>SET419-ORANGE-KR-010-L</t>
  </si>
  <si>
    <t>JNE1006-PURPLE-KR-011-XL</t>
  </si>
  <si>
    <t>SET420-BEIGE-KR-012-S</t>
  </si>
  <si>
    <t>JNE1007-NAVY-KR-013-M</t>
  </si>
  <si>
    <t>SET421-RED-KR-014-L</t>
  </si>
  <si>
    <t>JNE1008-BLUE-KR-015-XL</t>
  </si>
  <si>
    <t>SET422-GREEN-KR-016-S</t>
  </si>
  <si>
    <t>JNE1009-YELLOW-KR-017-M</t>
  </si>
  <si>
    <t>SET423-BLACK-KR-018-L</t>
  </si>
  <si>
    <t>JNE1010-WHITE-KR-019-XL</t>
  </si>
  <si>
    <t>SET424-PINK-KR-020-S</t>
  </si>
  <si>
    <t>JNE1011-GRAY-KR-021-M</t>
  </si>
  <si>
    <t>SET425-BROWN-KR-022-L</t>
  </si>
  <si>
    <t>JNE1012-ORANGE-KR-023-XL</t>
  </si>
  <si>
    <t>SET426-PURPLE-KR-024-S</t>
  </si>
  <si>
    <t>JNE1013-BEIGE-KR-025-M</t>
  </si>
  <si>
    <t>SET427-NAVY-KR-026-L</t>
  </si>
  <si>
    <t>JNE1014-RED-KR-027-XL</t>
  </si>
  <si>
    <t>SET428-BLUE-KR-028-S</t>
  </si>
  <si>
    <t>JNE1015-GREEN-KR-029-M</t>
  </si>
  <si>
    <t>SET429-YELLOW-KR-030-L</t>
  </si>
  <si>
    <t>JNE1016-BLACK-KR-031-XL</t>
  </si>
  <si>
    <t>SET430-WHITE-KR-032-S</t>
  </si>
  <si>
    <t>JNE1017-PINK-KR-033-M</t>
  </si>
  <si>
    <t>SET431-GRAY-KR-034-L</t>
  </si>
  <si>
    <t>JNE1018-BROWN-KR-035-XL</t>
  </si>
  <si>
    <t>SET432-ORANGE-KR-036-S</t>
  </si>
  <si>
    <t>JNE1019-PURPLE-KR-037-M</t>
  </si>
  <si>
    <t>SET433-BEIGE-KR-038-L</t>
  </si>
  <si>
    <t>JNE1020-NAVY-KR-039-XL</t>
  </si>
  <si>
    <t>SET434-RED-KR-040-S</t>
  </si>
  <si>
    <t>JNE1021-BLUE-KR-041-M</t>
  </si>
  <si>
    <t>SET435-GREEN-KR-042-L</t>
  </si>
  <si>
    <t>JNE1022-YELLOW-KR-043-XL</t>
  </si>
  <si>
    <t>SET436-BLACK-KR-044-S</t>
  </si>
  <si>
    <t>JNE1023-WHITE-KR-045-M</t>
  </si>
  <si>
    <t>SET437-PINK-KR-046-L</t>
  </si>
  <si>
    <t>JNE1024-GRAY-KR-047-XL</t>
  </si>
  <si>
    <t>SET438-BROWN-KR-048-S</t>
  </si>
  <si>
    <t>JNE1025-ORANGE-KR-049-M</t>
  </si>
  <si>
    <t>SET439-PURPLE-KR-050-L</t>
  </si>
  <si>
    <t>JNE1026-BEIGE-KR-051-XL</t>
  </si>
  <si>
    <t>SET440-NAVY-KR-052-S</t>
  </si>
  <si>
    <t>JNE1027-RED-KR-053-M</t>
  </si>
  <si>
    <t>SET441-BLUE-KR-054-L</t>
  </si>
  <si>
    <t>JNE1028-GREEN-KR-055-XL</t>
  </si>
  <si>
    <t>SET442-YELLOW-KR-056-S</t>
  </si>
  <si>
    <t>JNE1029-BLACK-KR-057-M</t>
  </si>
  <si>
    <t>SET443-WHITE-KR-058-L</t>
  </si>
  <si>
    <t>JNE1030-PINK-KR-059-XL</t>
  </si>
  <si>
    <t>SET444-GRAY-KR-060-S</t>
  </si>
  <si>
    <t>JNE1031-BROWN-KR-061-M</t>
  </si>
  <si>
    <t>SET445-ORANGE-KR-062-L</t>
  </si>
  <si>
    <t>JNE1032-PURPLE-KR-063-XL</t>
  </si>
  <si>
    <t>SET446-BEIGE-KR-064-S</t>
  </si>
  <si>
    <t>JNE1033-NAVY-KR-065-M</t>
  </si>
  <si>
    <t>SET447-RED-KR-066-L</t>
  </si>
  <si>
    <t>JNE1034-BLUE-KR-067-XL</t>
  </si>
  <si>
    <t>SET448-GREEN-KR-068-S</t>
  </si>
  <si>
    <t>JNE1035-YELLOW-KR-069-M</t>
  </si>
  <si>
    <t>SET449-BLACK-KR-070-L</t>
  </si>
  <si>
    <t>JNE1036-WHITE-KR-071-XL</t>
  </si>
  <si>
    <t>SET450-PINK-KR-072-S</t>
  </si>
  <si>
    <t>JNE1037-GRAY-KR-073-M</t>
  </si>
  <si>
    <t>SET451-BROWN-KR-074-L</t>
  </si>
  <si>
    <t>JNE1038-ORANGE-KR-075-XL</t>
  </si>
  <si>
    <t>SET452-PURPLE-KR-076-S</t>
  </si>
  <si>
    <t>JNE1039-BEIGE-KR-077-M</t>
  </si>
  <si>
    <t>SET453-NAVY-KR-078-L</t>
  </si>
  <si>
    <t>JNE1040-RED-KR-079-XL</t>
  </si>
  <si>
    <t>SET454-BLUE-KR-080-S</t>
  </si>
  <si>
    <t>JNE1041-GREEN-KR-081-M</t>
  </si>
  <si>
    <t>SET455-YELLOW-KR-082-L</t>
  </si>
  <si>
    <t>JNE1042-BLACK-KR-083-XL</t>
  </si>
  <si>
    <t>SET456-WHITE-KR-084-S</t>
  </si>
  <si>
    <t>JNE1043-PINK-KR-085-M</t>
  </si>
  <si>
    <t>SET457-GRAY-KR-086-L</t>
  </si>
  <si>
    <t>JNE1044-BROWN-KR-087-XL</t>
  </si>
  <si>
    <t>SET458-ORANGE-KR-088-S</t>
  </si>
  <si>
    <t>JNE1045-PURPLE-KR-089-M</t>
  </si>
  <si>
    <t>SET459-BEIGE-KR-090-L</t>
  </si>
  <si>
    <t>JNE1046-NAVY-KR-091-XL</t>
  </si>
  <si>
    <t>SET460-RED-KR-092-S</t>
  </si>
  <si>
    <t>JNE1047-BLUE-KR-093-M</t>
  </si>
  <si>
    <t>SET461-GREEN-KR-094-L</t>
  </si>
  <si>
    <t>JNE1048-YELLOW-KR-095-XL</t>
  </si>
  <si>
    <t>SET462-BLACK-KR-096-S</t>
  </si>
  <si>
    <t>JNE1049-WHITE-KR-097-M</t>
  </si>
  <si>
    <t>SET463-PINK-KR-098-L</t>
  </si>
  <si>
    <t>JNE1050-GRAY-KR-099-XL</t>
  </si>
  <si>
    <t>SET464-BROWN-KR-100-S</t>
  </si>
  <si>
    <t>JNE1051-ORANGE-KR-101-M</t>
  </si>
  <si>
    <t>SET465-PURPLE-KR-102-L</t>
  </si>
  <si>
    <t>JNE1052-BEIGE-KR-103-XL</t>
  </si>
  <si>
    <t>SET466-NAVY-KR-104-S</t>
  </si>
  <si>
    <t>JNE1053-RED-KR-105-M</t>
  </si>
  <si>
    <t>SET467-BLUE-KR-106-L</t>
  </si>
  <si>
    <t>JNE1054-GREEN-KR-107-XL</t>
  </si>
  <si>
    <t>SET468-YELLOW-KR-108-S</t>
  </si>
  <si>
    <t>JNE1055-BLACK-KR-109-M</t>
  </si>
  <si>
    <t>SET469-WHITE-KR-110-L</t>
  </si>
  <si>
    <t>JNE1056-PINK-KR-111-XL</t>
  </si>
  <si>
    <t>SET470-GRAY-KR-112-S</t>
  </si>
  <si>
    <t>JNE1057-BROWN-KR-113-M</t>
  </si>
  <si>
    <t>SET471-ORANGE-KR-114-L</t>
  </si>
  <si>
    <t>JNE1058-PURPLE-KR-115-XL</t>
  </si>
  <si>
    <t>SET472-BEIGE-KR-116-S</t>
  </si>
  <si>
    <t>JNE1059-NAVY-KR-117-M</t>
  </si>
  <si>
    <t>SET473-RED-KR-118-L</t>
  </si>
  <si>
    <t>JNE1060-BLUE-KR-119-XL</t>
  </si>
  <si>
    <t>SET474-GREEN-KR-120-S</t>
  </si>
  <si>
    <t>JNE1061-YELLOW-KR-121-M</t>
  </si>
  <si>
    <t>SET475-BLACK-KR-122-L</t>
  </si>
  <si>
    <t>JNE1062-WHITE-KR-123-XL</t>
  </si>
  <si>
    <t>SET476-PINK-KR-124-S</t>
  </si>
  <si>
    <t>JNE1063-GRAY-KR-125-M</t>
  </si>
  <si>
    <t>SET477-BROWN-KR-126-L</t>
  </si>
  <si>
    <t>JNE1064-ORANGE-KR-127-XL</t>
  </si>
  <si>
    <t>SET478-PURPLE-KR-128-S</t>
  </si>
  <si>
    <t>JNE1065-BEIGE-KR-129-M</t>
  </si>
  <si>
    <t>SET479-NAVY-KR-130-L</t>
  </si>
  <si>
    <t>JNE1066-RED-KR-131-XL</t>
  </si>
  <si>
    <t>SET480-BLUE-KR-132-S</t>
  </si>
  <si>
    <t>JNE1067-GREEN-KR-133-M</t>
  </si>
  <si>
    <t>SET481-YELLOW-KR-134-L</t>
  </si>
  <si>
    <t>JNE1068-BLACK-KR-135-XL</t>
  </si>
  <si>
    <t>SET482-WHITE-KR-136-S</t>
  </si>
  <si>
    <t>JNE1069-PINK-KR-137-M</t>
  </si>
  <si>
    <t>SET483-GRAY-KR-138-L</t>
  </si>
  <si>
    <t>JNE1070-BROWN-KR-139-XL</t>
  </si>
  <si>
    <t>SET484-ORANGE-KR-140-S</t>
  </si>
  <si>
    <t>JNE1071-PURPLE-KR-141-M</t>
  </si>
  <si>
    <t>SET485-BEIGE-KR-142-L</t>
  </si>
  <si>
    <t>JNE1072-NAVY-KR-143-XL</t>
  </si>
  <si>
    <t>SET486-RED-KR-144-S</t>
  </si>
  <si>
    <t>JNE1073-BLUE-KR-145-M</t>
  </si>
  <si>
    <t>SET487-GREEN-KR-146-L</t>
  </si>
  <si>
    <t>JNE1074-YELLOW-KR-147-XL</t>
  </si>
  <si>
    <t>SET488-BLACK-KR-148-S</t>
  </si>
  <si>
    <t>JNE1075-WHITE-KR-149-M</t>
  </si>
  <si>
    <t>SET489-PINK-KR-150-L</t>
  </si>
  <si>
    <t>JNE1076-BLUE-KR-151-XL</t>
  </si>
  <si>
    <t>SET490-YELLOW-KR-152-S</t>
  </si>
  <si>
    <t>JNE1077-BLACK-KR-153-M</t>
  </si>
  <si>
    <t>SET491-WHITE-KR-154-L</t>
  </si>
  <si>
    <t>JNE1078-PINK-KR-155-XL</t>
  </si>
  <si>
    <t>SET492-GRAY-KR-156-S</t>
  </si>
  <si>
    <t>JNE1079-BROWN-KR-157-M</t>
  </si>
  <si>
    <t>SET493-ORANGE-KR-158-L</t>
  </si>
  <si>
    <t>JNE1080-PURPLE-KR-159-XL</t>
  </si>
  <si>
    <t>SET494-BEIGE-KR-160-S</t>
  </si>
  <si>
    <t>JNE1081-NAVY-KR-161-M</t>
  </si>
  <si>
    <t>SET495-RED-KR-162-L</t>
  </si>
  <si>
    <t>JNE1082-BLUE-KR-163-XL</t>
  </si>
  <si>
    <t>SET496-GREEN-KR-164-S</t>
  </si>
  <si>
    <t>JNE1083-YELLOW-KR-165-M</t>
  </si>
  <si>
    <t>SET497-BLACK-KR-166-L</t>
  </si>
  <si>
    <t>JNE1084-WHITE-KR-167-XL</t>
  </si>
  <si>
    <t>SET498-PINK-KR-168-S</t>
  </si>
  <si>
    <t>JNE1085-GRAY-KR-169-M</t>
  </si>
  <si>
    <t>SET499-BROWN-KR-170-L</t>
  </si>
  <si>
    <t>JNE1086-ORANGE-KR-171-XL</t>
  </si>
  <si>
    <t>SET500-PURPLE-KR-172-S</t>
  </si>
  <si>
    <t>JNE1087-BEIGE-KR-173-M</t>
  </si>
  <si>
    <t>SET501-NAVY-KR-174-L</t>
  </si>
  <si>
    <t>JNE1088-RED-KR-175-XL</t>
  </si>
  <si>
    <t>SET502-BLUE-KR-176-S</t>
  </si>
  <si>
    <t>JNE1089-GREEN-KR-177-M</t>
  </si>
  <si>
    <t>SET503-YELLOW-KR-178-L</t>
  </si>
  <si>
    <t>JNE1090-BLACK-KR-179-XL</t>
  </si>
  <si>
    <t>SET504-WHITE-KR-180-S</t>
  </si>
  <si>
    <t>JNE1091-PINK-KR-181-M</t>
  </si>
  <si>
    <t>SET505-GRAY-KR-182-L</t>
  </si>
  <si>
    <t>JNE1092-BROWN-KR-183-XL</t>
  </si>
  <si>
    <t>SET506-ORANGE-KR-184-S</t>
  </si>
  <si>
    <t>JNE1093-PURPLE-KR-185-M</t>
  </si>
  <si>
    <t>SET507-BEIGE-KR-186-L</t>
  </si>
  <si>
    <t>JNE1094-NAVY-KR-187-XL</t>
  </si>
  <si>
    <t>SET508-RED-KR-188-S</t>
  </si>
  <si>
    <t>JNE1095-BLUE-KR-189-M</t>
  </si>
  <si>
    <t>SET509-GREEN-KR-190-L</t>
  </si>
  <si>
    <t>JNE1096-YELLOW-KR-191-XL</t>
  </si>
  <si>
    <t>SET510-BLACK-KR-192-S</t>
  </si>
  <si>
    <t>JNE1097-WHITE-KR-193-M</t>
  </si>
  <si>
    <t>SET511-PINK-KR-194-L</t>
  </si>
  <si>
    <t>JNE1098-GRAY-KR-195-XL</t>
  </si>
  <si>
    <t>SET512-BROWN-KR-196-S</t>
  </si>
  <si>
    <t>JNE1099-ORANGE-KR-197-M</t>
  </si>
  <si>
    <t>SET513-PURPLE-KR-198-L</t>
  </si>
  <si>
    <t>JNE1100-BEIGE-KR-199-XL</t>
  </si>
  <si>
    <t>SET514-NAVY-KR-200-S</t>
  </si>
  <si>
    <t>Category</t>
  </si>
  <si>
    <t>Blouse</t>
  </si>
  <si>
    <t>Bottom</t>
  </si>
  <si>
    <t>Ethnic Dress</t>
  </si>
  <si>
    <t>Kurta</t>
  </si>
  <si>
    <t>Saree</t>
  </si>
  <si>
    <t>Set</t>
  </si>
  <si>
    <t>Top</t>
  </si>
  <si>
    <t>Western Dress</t>
  </si>
  <si>
    <t>Size</t>
  </si>
  <si>
    <t>M</t>
  </si>
  <si>
    <t>L</t>
  </si>
  <si>
    <t>XL</t>
  </si>
  <si>
    <t>S</t>
  </si>
  <si>
    <t>3XL</t>
  </si>
  <si>
    <t>4XL</t>
  </si>
  <si>
    <t>5XL</t>
  </si>
  <si>
    <t>6XL</t>
  </si>
  <si>
    <t>Free</t>
  </si>
  <si>
    <t>XXL</t>
  </si>
  <si>
    <t>Qty</t>
  </si>
  <si>
    <t>Delhi</t>
  </si>
  <si>
    <t>Bengaluru</t>
  </si>
  <si>
    <t>Kolkata</t>
  </si>
  <si>
    <t>Chennai</t>
  </si>
  <si>
    <t>Hyderabad</t>
  </si>
  <si>
    <t>Pune</t>
  </si>
  <si>
    <t>Ahmedabad</t>
  </si>
  <si>
    <t>Jaipur</t>
  </si>
  <si>
    <t>Surat</t>
  </si>
  <si>
    <t>Lucknow</t>
  </si>
  <si>
    <t>Kanpur</t>
  </si>
  <si>
    <t>Nagpur</t>
  </si>
  <si>
    <t>Indore</t>
  </si>
  <si>
    <t>Thane</t>
  </si>
  <si>
    <t>Bhopal</t>
  </si>
  <si>
    <t>Visakhapatnam</t>
  </si>
  <si>
    <t>Pimpri-Chinchwad</t>
  </si>
  <si>
    <t>Patna</t>
  </si>
  <si>
    <t>Vadodara</t>
  </si>
  <si>
    <t>Ghaziabad</t>
  </si>
  <si>
    <t>Ludhiana</t>
  </si>
  <si>
    <t>Agra</t>
  </si>
  <si>
    <t>Nashik</t>
  </si>
  <si>
    <t>Faridabad</t>
  </si>
  <si>
    <t>Meerut</t>
  </si>
  <si>
    <t>Rajkot</t>
  </si>
  <si>
    <t>Kalyan-Dombivli</t>
  </si>
  <si>
    <t>Vasai-Virar</t>
  </si>
  <si>
    <t>Varanasi</t>
  </si>
  <si>
    <t>Srinagar</t>
  </si>
  <si>
    <t>Aurangabad</t>
  </si>
  <si>
    <t>Dhanbad</t>
  </si>
  <si>
    <t>Amritsar</t>
  </si>
  <si>
    <t>Navi Mumbai</t>
  </si>
  <si>
    <t>Allahabad</t>
  </si>
  <si>
    <t>Ranchi</t>
  </si>
  <si>
    <t>Howrah</t>
  </si>
  <si>
    <t>Coimbatore</t>
  </si>
  <si>
    <t>Jabalpur</t>
  </si>
  <si>
    <t>Gwalior</t>
  </si>
  <si>
    <t>Vijayawada</t>
  </si>
  <si>
    <t>Jodhpur</t>
  </si>
  <si>
    <t>Madurai</t>
  </si>
  <si>
    <t>Raipur</t>
  </si>
  <si>
    <t>Kota</t>
  </si>
  <si>
    <t>Guwahati</t>
  </si>
  <si>
    <t>Chandigarh</t>
  </si>
  <si>
    <t>Solapur</t>
  </si>
  <si>
    <t>Hubli-Dharwad</t>
  </si>
  <si>
    <t>Tiruchirappalli</t>
  </si>
  <si>
    <t>Bareilly</t>
  </si>
  <si>
    <t>Mysore</t>
  </si>
  <si>
    <t>Tiruppur</t>
  </si>
  <si>
    <t>Gurgaon</t>
  </si>
  <si>
    <t>Aligarh</t>
  </si>
  <si>
    <t>Jalandhar</t>
  </si>
  <si>
    <t>Tirunelveli</t>
  </si>
  <si>
    <t>Bhavnagar</t>
  </si>
  <si>
    <t>Salem</t>
  </si>
  <si>
    <t>Mira-Bhayandar</t>
  </si>
  <si>
    <t>Thiruvananthapuram</t>
  </si>
  <si>
    <t>Bhiwandi</t>
  </si>
  <si>
    <t>Saharanpur</t>
  </si>
  <si>
    <t>Gorakhpur</t>
  </si>
  <si>
    <t>Bhubaneswar</t>
  </si>
  <si>
    <t>Amravati</t>
  </si>
  <si>
    <t>Mangalore</t>
  </si>
  <si>
    <t>Muzaffarnagar</t>
  </si>
  <si>
    <t>Kochi</t>
  </si>
  <si>
    <t>Dehradun</t>
  </si>
  <si>
    <t>Durgapur</t>
  </si>
  <si>
    <t>Asansol</t>
  </si>
  <si>
    <t>Nanded</t>
  </si>
  <si>
    <t>Kolhapur</t>
  </si>
  <si>
    <t>Ajmer</t>
  </si>
  <si>
    <t>Akola</t>
  </si>
  <si>
    <t>Gaya</t>
  </si>
  <si>
    <t>Jamnagar</t>
  </si>
  <si>
    <t>Ujjain</t>
  </si>
  <si>
    <t>Loni</t>
  </si>
  <si>
    <t>Siliguri</t>
  </si>
  <si>
    <t>Jhansi</t>
  </si>
  <si>
    <t>Ulhasnagar</t>
  </si>
  <si>
    <t>Nellore</t>
  </si>
  <si>
    <t>Jammu</t>
  </si>
  <si>
    <t>Sangli-Miraj-Kupwad</t>
  </si>
  <si>
    <t>Belgaum</t>
  </si>
  <si>
    <t>Tirupati</t>
  </si>
  <si>
    <t>Shimoga</t>
  </si>
  <si>
    <t>Mysuru</t>
  </si>
  <si>
    <t>Gulbarga</t>
  </si>
  <si>
    <t>Jalgaon</t>
  </si>
  <si>
    <t>Udaipur</t>
  </si>
  <si>
    <t>Maheshtala</t>
  </si>
  <si>
    <t>Bhilai</t>
  </si>
  <si>
    <t>Rohtak</t>
  </si>
  <si>
    <t>Kurnool</t>
  </si>
  <si>
    <t>Raurkela</t>
  </si>
  <si>
    <t>Bokaro Steel City</t>
  </si>
  <si>
    <t>South Dumdum</t>
  </si>
  <si>
    <t>Bellary</t>
  </si>
  <si>
    <t>Patiala</t>
  </si>
  <si>
    <t>Muzaffarpur</t>
  </si>
  <si>
    <t>Panihati</t>
  </si>
  <si>
    <t>Ambattur</t>
  </si>
  <si>
    <t>Dewas</t>
  </si>
  <si>
    <t>Korba</t>
  </si>
  <si>
    <t>Kollam</t>
  </si>
  <si>
    <t>Gopalpur</t>
  </si>
  <si>
    <t>Saharsa</t>
  </si>
  <si>
    <t>Sikar</t>
  </si>
  <si>
    <t>Raiganj</t>
  </si>
  <si>
    <t>Darbhanga</t>
  </si>
  <si>
    <t>Tinsukia</t>
  </si>
  <si>
    <t>Shimla</t>
  </si>
  <si>
    <t>Sambalpur</t>
  </si>
  <si>
    <t>Bagalkot</t>
  </si>
  <si>
    <t>Barasat</t>
  </si>
  <si>
    <t>Hapur</t>
  </si>
  <si>
    <t>Jalna</t>
  </si>
  <si>
    <t>Pali</t>
  </si>
  <si>
    <t>Dibrugarh</t>
  </si>
  <si>
    <t>Nizamabad</t>
  </si>
  <si>
    <t>Siwan</t>
  </si>
  <si>
    <t>Moradabad</t>
  </si>
  <si>
    <t>Dhule</t>
  </si>
  <si>
    <t>Wardha</t>
  </si>
  <si>
    <t>Baroda</t>
  </si>
  <si>
    <t>Begusarai</t>
  </si>
  <si>
    <t>Raebareli</t>
  </si>
  <si>
    <t>Sagar</t>
  </si>
  <si>
    <t>Bathinda</t>
  </si>
  <si>
    <t>Bhagalpur</t>
  </si>
  <si>
    <t>Tiruvallur</t>
  </si>
  <si>
    <t>Satna</t>
  </si>
  <si>
    <t>Junagadh</t>
  </si>
  <si>
    <t>Kakinada</t>
  </si>
  <si>
    <t>Bilaspur</t>
  </si>
  <si>
    <t>Shahjahanpur</t>
  </si>
  <si>
    <t>Alwar</t>
  </si>
  <si>
    <t>Udhampur</t>
  </si>
  <si>
    <t>Anantapur</t>
  </si>
  <si>
    <t>Munger</t>
  </si>
  <si>
    <t>Karimnagar</t>
  </si>
  <si>
    <t>Firozabad</t>
  </si>
  <si>
    <t>Haldwani</t>
  </si>
  <si>
    <t>Nagaon</t>
  </si>
  <si>
    <t>Rajahmundry</t>
  </si>
  <si>
    <t>Sahibzada Ajit Singh Nagar</t>
  </si>
  <si>
    <t>Chhapra</t>
  </si>
  <si>
    <t>Fatehpur</t>
  </si>
  <si>
    <t>Gandhidham</t>
  </si>
  <si>
    <t>Bardhaman</t>
  </si>
  <si>
    <t>Karaikudi</t>
  </si>
  <si>
    <t>Motihari</t>
  </si>
  <si>
    <t>Tonk</t>
  </si>
  <si>
    <t>Bhind</t>
  </si>
  <si>
    <t>Chittoor</t>
  </si>
  <si>
    <t>Kharagpur</t>
  </si>
  <si>
    <t>Latur</t>
  </si>
  <si>
    <t>Kishanganj</t>
  </si>
  <si>
    <t>Nadiad</t>
  </si>
  <si>
    <t>Raichur</t>
  </si>
  <si>
    <t>Panchkula</t>
  </si>
  <si>
    <t>Sultanpur</t>
  </si>
  <si>
    <t>Pathankot</t>
  </si>
  <si>
    <t>Amroha</t>
  </si>
  <si>
    <t>Durg</t>
  </si>
  <si>
    <t>Barmer</t>
  </si>
  <si>
    <t>Darjeeling</t>
  </si>
  <si>
    <t>Karnal</t>
  </si>
  <si>
    <t>Katihar</t>
  </si>
  <si>
    <t>Rajnandgaon</t>
  </si>
  <si>
    <t>Shivamogga</t>
  </si>
  <si>
    <t>Baharampur</t>
  </si>
  <si>
    <t>Mahasamund</t>
  </si>
  <si>
    <t>Banswara</t>
  </si>
  <si>
    <t>Hoshiarpur</t>
  </si>
  <si>
    <t>Tiruvannamalai</t>
  </si>
  <si>
    <t>Purnia</t>
  </si>
  <si>
    <t>Sitapur</t>
  </si>
  <si>
    <t>Chandrapur</t>
  </si>
  <si>
    <t>Bhadrak</t>
  </si>
  <si>
    <t>Barpeta</t>
  </si>
  <si>
    <t>Hamirpur</t>
  </si>
  <si>
    <t>Khammam</t>
  </si>
  <si>
    <t>Rewa</t>
  </si>
  <si>
    <t>Baghpat</t>
  </si>
  <si>
    <t>Jagdalpur</t>
  </si>
  <si>
    <t>Buldhana</t>
  </si>
  <si>
    <t>Srikakulam</t>
  </si>
  <si>
    <t>Shivpuri</t>
  </si>
  <si>
    <t>Bijnor</t>
  </si>
  <si>
    <t>Khandwa</t>
  </si>
  <si>
    <t>Ratlam</t>
  </si>
  <si>
    <t>Ship -City</t>
  </si>
  <si>
    <t>Ship-State</t>
  </si>
  <si>
    <t>Maharashtra</t>
  </si>
  <si>
    <t>Karnataka</t>
  </si>
  <si>
    <t>West Bengal</t>
  </si>
  <si>
    <t>Tamil Nadu</t>
  </si>
  <si>
    <t>Telangana</t>
  </si>
  <si>
    <t>Gujarat</t>
  </si>
  <si>
    <t>Rajasthan</t>
  </si>
  <si>
    <t>Uttar Pradesh</t>
  </si>
  <si>
    <t>Madhya Pradesh</t>
  </si>
  <si>
    <t>Bihar</t>
  </si>
  <si>
    <t>Punjab</t>
  </si>
  <si>
    <t>Haryana</t>
  </si>
  <si>
    <t>Kerala</t>
  </si>
  <si>
    <t>Jharkhand</t>
  </si>
  <si>
    <t>Chhattisgarh</t>
  </si>
  <si>
    <t>Odisha</t>
  </si>
  <si>
    <t>Uttarakhand</t>
  </si>
  <si>
    <t>Assam</t>
  </si>
  <si>
    <t>Himachal Pradesh</t>
  </si>
  <si>
    <t>Ship-postal-code</t>
  </si>
  <si>
    <t>B2B</t>
  </si>
  <si>
    <t>Age Group</t>
  </si>
  <si>
    <t>Month</t>
  </si>
  <si>
    <t>Count of Order ID</t>
  </si>
  <si>
    <t>Amount</t>
  </si>
  <si>
    <t>Sum of Amount</t>
  </si>
  <si>
    <t>Row Labels</t>
  </si>
  <si>
    <t>Nov</t>
  </si>
  <si>
    <t>Dec</t>
  </si>
  <si>
    <t>Jan</t>
  </si>
  <si>
    <t>Feb</t>
  </si>
  <si>
    <t>Mar</t>
  </si>
  <si>
    <t>Apr</t>
  </si>
  <si>
    <t>May</t>
  </si>
  <si>
    <t>Jun</t>
  </si>
  <si>
    <t>Jul</t>
  </si>
  <si>
    <t>Aug</t>
  </si>
  <si>
    <t>Sep</t>
  </si>
  <si>
    <t>Vrinda Store Annual Report 2022</t>
  </si>
  <si>
    <t>Vrinda Store Annual Report 2023</t>
  </si>
  <si>
    <t>Return</t>
  </si>
  <si>
    <t>Adult</t>
  </si>
  <si>
    <t>Senior</t>
  </si>
  <si>
    <t>Teenager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</si>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</sst>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8"/>
      <name val="Calibri"/>
      <family val="2"/>
      <scheme val="minor"/>
    </font>
    <font>
      <sz val="18"/>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74527"/>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1">
    <xf numFmtId="0" fontId="0" fillId="0" borderId="0" xfId="0"/>
    <xf numFmtId="0" fontId="0" fillId="0" borderId="1" xfId="0" applyBorder="1"/>
    <xf numFmtId="14" fontId="0" fillId="0" borderId="1" xfId="0" applyNumberFormat="1" applyBorder="1"/>
    <xf numFmtId="0" fontId="1" fillId="2" borderId="1" xfId="0" applyFont="1" applyFill="1" applyBorder="1"/>
    <xf numFmtId="0" fontId="1"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4" borderId="0" xfId="0" applyFill="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0" fillId="4" borderId="8" xfId="0" applyFill="1" applyBorder="1"/>
    <xf numFmtId="0" fontId="0" fillId="4" borderId="7" xfId="0" applyFill="1" applyBorder="1"/>
    <xf numFmtId="0" fontId="0" fillId="4" borderId="9" xfId="0" applyFill="1" applyBorder="1"/>
    <xf numFmtId="10" fontId="0" fillId="0" borderId="0" xfId="0" applyNumberFormat="1"/>
    <xf numFmtId="164" fontId="0" fillId="0" borderId="0" xfId="0" applyNumberFormat="1"/>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12" xfId="0" applyFont="1" applyFill="1" applyBorder="1" applyAlignment="1">
      <alignment horizontal="center"/>
    </xf>
  </cellXfs>
  <cellStyles count="1">
    <cellStyle name="Normal" xfId="0" builtinId="0"/>
  </cellStyles>
  <dxfs count="1">
    <dxf>
      <numFmt numFmtId="164" formatCode="0.0%"/>
    </dxf>
  </dxfs>
  <tableStyles count="0" defaultTableStyle="TableStyleMedium2" defaultPivotStyle="PivotStyleLight16"/>
  <colors>
    <mruColors>
      <color rgb="FFFF9900"/>
      <color rgb="FFF745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analysis.xlsx]Sales vs orders!PivotTable1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a:t>
            </a:r>
            <a:r>
              <a:rPr lang="en-IN" b="1" baseline="0"/>
              <a:t> Vs Sales</a:t>
            </a:r>
          </a:p>
        </c:rich>
      </c:tx>
      <c:layout>
        <c:manualLayout>
          <c:xMode val="edge"/>
          <c:yMode val="edge"/>
          <c:x val="0.22829233974619151"/>
          <c:y val="5.0566595842186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7987789080014"/>
          <c:y val="0.18142876371222827"/>
          <c:w val="0.81253171478565167"/>
          <c:h val="0.57734465884072184"/>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orders'!$A$4:$A$14</c:f>
              <c:strCache>
                <c:ptCount val="11"/>
                <c:pt idx="0">
                  <c:v>Jan</c:v>
                </c:pt>
                <c:pt idx="1">
                  <c:v>Feb</c:v>
                </c:pt>
                <c:pt idx="2">
                  <c:v>Mar</c:v>
                </c:pt>
                <c:pt idx="3">
                  <c:v>Apr</c:v>
                </c:pt>
                <c:pt idx="4">
                  <c:v>May</c:v>
                </c:pt>
                <c:pt idx="5">
                  <c:v>Jun</c:v>
                </c:pt>
                <c:pt idx="6">
                  <c:v>Jul</c:v>
                </c:pt>
                <c:pt idx="7">
                  <c:v>Aug</c:v>
                </c:pt>
                <c:pt idx="8">
                  <c:v>Sep</c:v>
                </c:pt>
                <c:pt idx="9">
                  <c:v>Nov</c:v>
                </c:pt>
                <c:pt idx="10">
                  <c:v>Dec</c:v>
                </c:pt>
              </c:strCache>
            </c:strRef>
          </c:cat>
          <c:val>
            <c:numRef>
              <c:f>'Sales vs orders'!$B$4:$B$14</c:f>
              <c:numCache>
                <c:formatCode>General</c:formatCode>
                <c:ptCount val="11"/>
                <c:pt idx="0">
                  <c:v>40826</c:v>
                </c:pt>
                <c:pt idx="1">
                  <c:v>22638</c:v>
                </c:pt>
                <c:pt idx="2">
                  <c:v>26949</c:v>
                </c:pt>
                <c:pt idx="3">
                  <c:v>19320</c:v>
                </c:pt>
                <c:pt idx="4">
                  <c:v>17064</c:v>
                </c:pt>
                <c:pt idx="5">
                  <c:v>14145</c:v>
                </c:pt>
                <c:pt idx="6">
                  <c:v>26248</c:v>
                </c:pt>
                <c:pt idx="7">
                  <c:v>21209</c:v>
                </c:pt>
                <c:pt idx="8">
                  <c:v>57428</c:v>
                </c:pt>
                <c:pt idx="9">
                  <c:v>77727</c:v>
                </c:pt>
                <c:pt idx="10">
                  <c:v>26324</c:v>
                </c:pt>
              </c:numCache>
            </c:numRef>
          </c:val>
          <c:extLst>
            <c:ext xmlns:c16="http://schemas.microsoft.com/office/drawing/2014/chart" uri="{C3380CC4-5D6E-409C-BE32-E72D297353CC}">
              <c16:uniqueId val="{00000000-1B76-44A2-8D46-4CEC099EB51F}"/>
            </c:ext>
          </c:extLst>
        </c:ser>
        <c:dLbls>
          <c:showLegendKey val="0"/>
          <c:showVal val="0"/>
          <c:showCatName val="0"/>
          <c:showSerName val="0"/>
          <c:showPercent val="0"/>
          <c:showBubbleSize val="0"/>
        </c:dLbls>
        <c:gapWidth val="219"/>
        <c:overlap val="-27"/>
        <c:axId val="1687736079"/>
        <c:axId val="1687739919"/>
      </c:barChart>
      <c:lineChart>
        <c:grouping val="standard"/>
        <c:varyColors val="0"/>
        <c:ser>
          <c:idx val="1"/>
          <c:order val="1"/>
          <c:tx>
            <c:strRef>
              <c:f>'Sales vs orders'!$C$3</c:f>
              <c:strCache>
                <c:ptCount val="1"/>
                <c:pt idx="0">
                  <c:v>Count of Order ID</c:v>
                </c:pt>
              </c:strCache>
            </c:strRef>
          </c:tx>
          <c:spPr>
            <a:ln w="28575" cap="rnd">
              <a:solidFill>
                <a:schemeClr val="accent2"/>
              </a:solidFill>
              <a:round/>
            </a:ln>
            <a:effectLst/>
          </c:spPr>
          <c:marker>
            <c:symbol val="none"/>
          </c:marker>
          <c:cat>
            <c:strRef>
              <c:f>'Sales vs orders'!$A$4:$A$14</c:f>
              <c:strCache>
                <c:ptCount val="11"/>
                <c:pt idx="0">
                  <c:v>Jan</c:v>
                </c:pt>
                <c:pt idx="1">
                  <c:v>Feb</c:v>
                </c:pt>
                <c:pt idx="2">
                  <c:v>Mar</c:v>
                </c:pt>
                <c:pt idx="3">
                  <c:v>Apr</c:v>
                </c:pt>
                <c:pt idx="4">
                  <c:v>May</c:v>
                </c:pt>
                <c:pt idx="5">
                  <c:v>Jun</c:v>
                </c:pt>
                <c:pt idx="6">
                  <c:v>Jul</c:v>
                </c:pt>
                <c:pt idx="7">
                  <c:v>Aug</c:v>
                </c:pt>
                <c:pt idx="8">
                  <c:v>Sep</c:v>
                </c:pt>
                <c:pt idx="9">
                  <c:v>Nov</c:v>
                </c:pt>
                <c:pt idx="10">
                  <c:v>Dec</c:v>
                </c:pt>
              </c:strCache>
            </c:strRef>
          </c:cat>
          <c:val>
            <c:numRef>
              <c:f>'Sales vs orders'!$C$4:$C$14</c:f>
              <c:numCache>
                <c:formatCode>General</c:formatCode>
                <c:ptCount val="11"/>
                <c:pt idx="0">
                  <c:v>26</c:v>
                </c:pt>
                <c:pt idx="1">
                  <c:v>11</c:v>
                </c:pt>
                <c:pt idx="2">
                  <c:v>14</c:v>
                </c:pt>
                <c:pt idx="3">
                  <c:v>10</c:v>
                </c:pt>
                <c:pt idx="4">
                  <c:v>10</c:v>
                </c:pt>
                <c:pt idx="5">
                  <c:v>8</c:v>
                </c:pt>
                <c:pt idx="6">
                  <c:v>16</c:v>
                </c:pt>
                <c:pt idx="7">
                  <c:v>12</c:v>
                </c:pt>
                <c:pt idx="8">
                  <c:v>33</c:v>
                </c:pt>
                <c:pt idx="9">
                  <c:v>45</c:v>
                </c:pt>
                <c:pt idx="10">
                  <c:v>15</c:v>
                </c:pt>
              </c:numCache>
            </c:numRef>
          </c:val>
          <c:smooth val="0"/>
          <c:extLst>
            <c:ext xmlns:c16="http://schemas.microsoft.com/office/drawing/2014/chart" uri="{C3380CC4-5D6E-409C-BE32-E72D297353CC}">
              <c16:uniqueId val="{00000001-1B76-44A2-8D46-4CEC099EB51F}"/>
            </c:ext>
          </c:extLst>
        </c:ser>
        <c:dLbls>
          <c:showLegendKey val="0"/>
          <c:showVal val="0"/>
          <c:showCatName val="0"/>
          <c:showSerName val="0"/>
          <c:showPercent val="0"/>
          <c:showBubbleSize val="0"/>
        </c:dLbls>
        <c:marker val="1"/>
        <c:smooth val="0"/>
        <c:axId val="1687762959"/>
        <c:axId val="1687762479"/>
      </c:lineChart>
      <c:catAx>
        <c:axId val="168773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39919"/>
        <c:crosses val="autoZero"/>
        <c:auto val="1"/>
        <c:lblAlgn val="ctr"/>
        <c:lblOffset val="100"/>
        <c:noMultiLvlLbl val="0"/>
      </c:catAx>
      <c:valAx>
        <c:axId val="1687739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36079"/>
        <c:crosses val="autoZero"/>
        <c:crossBetween val="between"/>
      </c:valAx>
      <c:valAx>
        <c:axId val="16877624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62959"/>
        <c:crosses val="max"/>
        <c:crossBetween val="between"/>
      </c:valAx>
      <c:catAx>
        <c:axId val="1687762959"/>
        <c:scaling>
          <c:orientation val="minMax"/>
        </c:scaling>
        <c:delete val="1"/>
        <c:axPos val="b"/>
        <c:numFmt formatCode="General" sourceLinked="1"/>
        <c:majorTickMark val="out"/>
        <c:minorTickMark val="none"/>
        <c:tickLblPos val="nextTo"/>
        <c:crossAx val="1687762479"/>
        <c:crosses val="autoZero"/>
        <c:auto val="1"/>
        <c:lblAlgn val="ctr"/>
        <c:lblOffset val="100"/>
        <c:noMultiLvlLbl val="0"/>
      </c:catAx>
      <c:spPr>
        <a:noFill/>
        <a:ln>
          <a:noFill/>
        </a:ln>
        <a:effectLst/>
      </c:spPr>
    </c:plotArea>
    <c:legend>
      <c:legendPos val="r"/>
      <c:layout>
        <c:manualLayout>
          <c:xMode val="edge"/>
          <c:yMode val="edge"/>
          <c:x val="0.51085884801925119"/>
          <c:y val="1.0938081120426749E-2"/>
          <c:w val="0.48436198600174979"/>
          <c:h val="0.103147054534849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analysis.xlsx]Men Vs Women!PivotTable2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a:t>:</a:t>
            </a:r>
            <a:r>
              <a:rPr lang="en-US" baseline="0"/>
              <a:t> </a:t>
            </a:r>
            <a:r>
              <a:rPr lang="en-US" b="1" baseline="0"/>
              <a:t>Men V</a:t>
            </a:r>
            <a:r>
              <a:rPr lang="en-US" baseline="0"/>
              <a:t>s </a:t>
            </a:r>
            <a:r>
              <a:rPr lang="en-US" b="1" baseline="0"/>
              <a:t>Women</a:t>
            </a:r>
            <a:endParaRPr lang="en-US" b="1"/>
          </a:p>
        </c:rich>
      </c:tx>
      <c:layout>
        <c:manualLayout>
          <c:xMode val="edge"/>
          <c:yMode val="edge"/>
          <c:x val="0.17929268456827513"/>
          <c:y val="2.31482783402074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dLbl>
          <c:idx val="0"/>
          <c:layout>
            <c:manualLayout>
              <c:x val="-8.3333333333333329E-2"/>
              <c:y val="0.1574074074074074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9900"/>
          </a:solidFill>
          <a:ln w="19050">
            <a:solidFill>
              <a:schemeClr val="lt1"/>
            </a:solidFill>
          </a:ln>
          <a:effectLst/>
        </c:spPr>
        <c:dLbl>
          <c:idx val="0"/>
          <c:layout>
            <c:manualLayout>
              <c:x val="0.1361111111111111"/>
              <c:y val="-0.2175925925925925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solidFill>
              <a:schemeClr val="lt1"/>
            </a:solidFill>
          </a:ln>
          <a:effectLst/>
        </c:spPr>
        <c:dLbl>
          <c:idx val="0"/>
          <c:layout>
            <c:manualLayout>
              <c:x val="-8.3333333333333329E-2"/>
              <c:y val="0.1574074074074074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9900"/>
          </a:solidFill>
          <a:ln w="19050">
            <a:solidFill>
              <a:schemeClr val="lt1"/>
            </a:solidFill>
          </a:ln>
          <a:effectLst/>
        </c:spPr>
        <c:dLbl>
          <c:idx val="0"/>
          <c:layout>
            <c:manualLayout>
              <c:x val="0.1361111111111111"/>
              <c:y val="-0.2175925925925925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solidFill>
              <a:schemeClr val="lt1"/>
            </a:solidFill>
          </a:ln>
          <a:effectLst/>
        </c:spPr>
        <c:dLbl>
          <c:idx val="0"/>
          <c:layout>
            <c:manualLayout>
              <c:x val="-0.10608646188850968"/>
              <c:y val="0.18614297673997646"/>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B25CA8A-5591-4B4F-A61A-D24CFB07B7F1}" type="CATEGORYNAME">
                  <a:rPr lang="en-US" sz="800"/>
                  <a:pPr>
                    <a:defRPr b="1">
                      <a:solidFill>
                        <a:schemeClr val="bg1"/>
                      </a:solidFill>
                    </a:defRPr>
                  </a:pPr>
                  <a:t>[CATEGORY NAME]</a:t>
                </a:fld>
                <a:r>
                  <a:rPr lang="en-US" baseline="0"/>
                  <a:t>
</a:t>
                </a:r>
                <a:fld id="{34EA7CA3-674E-4F48-B37F-9F7E7BED4068}" type="PERCENTAGE">
                  <a:rPr lang="en-US" baseline="0"/>
                  <a:pPr>
                    <a:defRPr b="1">
                      <a:solidFill>
                        <a:schemeClr val="bg1"/>
                      </a:solidFill>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FF9900"/>
          </a:solidFill>
          <a:ln w="19050">
            <a:solidFill>
              <a:schemeClr val="lt1"/>
            </a:solidFill>
          </a:ln>
          <a:effectLst/>
        </c:spPr>
        <c:dLbl>
          <c:idx val="0"/>
          <c:layout>
            <c:manualLayout>
              <c:x val="0.17024087859324752"/>
              <c:y val="-0.2175926554439317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sz="800" baseline="0"/>
                  <a:t>Women</a:t>
                </a:r>
                <a:r>
                  <a:rPr lang="en-US" baseline="0"/>
                  <a:t>
</a:t>
                </a:r>
                <a:fld id="{25AF7249-0665-41C8-A09F-0452D9C8F494}" type="PERCENTAGE">
                  <a:rPr lang="en-US" baseline="0"/>
                  <a:pPr>
                    <a:defRPr b="1">
                      <a:solidFill>
                        <a:schemeClr val="bg1"/>
                      </a:solidFill>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1459149337102093"/>
          <c:y val="0.16398497062867143"/>
          <c:w val="0.56227034120734909"/>
          <c:h val="0.65263521747281594"/>
        </c:manualLayout>
      </c:layout>
      <c:pieChart>
        <c:varyColors val="1"/>
        <c:ser>
          <c:idx val="0"/>
          <c:order val="0"/>
          <c:tx>
            <c:strRef>
              <c:f>'Men Vs Women'!$B$3</c:f>
              <c:strCache>
                <c:ptCount val="1"/>
                <c:pt idx="0">
                  <c:v>Total</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18BD-4233-A15D-B58BA2A118B7}"/>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18BD-4233-A15D-B58BA2A118B7}"/>
              </c:ext>
            </c:extLst>
          </c:dPt>
          <c:dLbls>
            <c:dLbl>
              <c:idx val="0"/>
              <c:layout>
                <c:manualLayout>
                  <c:x val="-0.10608646188850968"/>
                  <c:y val="0.18614297673997646"/>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B25CA8A-5591-4B4F-A61A-D24CFB07B7F1}" type="CATEGORYNAME">
                      <a:rPr lang="en-US" sz="800"/>
                      <a:pPr>
                        <a:defRPr b="1">
                          <a:solidFill>
                            <a:schemeClr val="bg1"/>
                          </a:solidFill>
                        </a:defRPr>
                      </a:pPr>
                      <a:t>[CATEGORY NAME]</a:t>
                    </a:fld>
                    <a:r>
                      <a:rPr lang="en-US" baseline="0"/>
                      <a:t>
</a:t>
                    </a:r>
                    <a:fld id="{34EA7CA3-674E-4F48-B37F-9F7E7BED4068}" type="PERCENTAGE">
                      <a:rPr lang="en-US" baseline="0"/>
                      <a:pPr>
                        <a:defRPr b="1">
                          <a:solidFill>
                            <a:schemeClr val="bg1"/>
                          </a:solidFill>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18BD-4233-A15D-B58BA2A118B7}"/>
                </c:ext>
              </c:extLst>
            </c:dLbl>
            <c:dLbl>
              <c:idx val="1"/>
              <c:layout>
                <c:manualLayout>
                  <c:x val="0.17024087859324752"/>
                  <c:y val="-0.2175926554439317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sz="800" baseline="0"/>
                      <a:t>Women</a:t>
                    </a:r>
                    <a:r>
                      <a:rPr lang="en-US" baseline="0"/>
                      <a:t>
</a:t>
                    </a:r>
                    <a:fld id="{25AF7249-0665-41C8-A09F-0452D9C8F494}" type="PERCENTAGE">
                      <a:rPr lang="en-US" baseline="0"/>
                      <a:pPr>
                        <a:defRPr b="1">
                          <a:solidFill>
                            <a:schemeClr val="bg1"/>
                          </a:solidFill>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18BD-4233-A15D-B58BA2A118B7}"/>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70754</c:v>
                </c:pt>
                <c:pt idx="1">
                  <c:v>279124</c:v>
                </c:pt>
              </c:numCache>
            </c:numRef>
          </c:val>
          <c:extLst>
            <c:ext xmlns:c16="http://schemas.microsoft.com/office/drawing/2014/chart" uri="{C3380CC4-5D6E-409C-BE32-E72D297353CC}">
              <c16:uniqueId val="{00000004-18BD-4233-A15D-B58BA2A118B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analysis.xlsx]Order Status!PivotTable3</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Order</a:t>
            </a:r>
            <a:r>
              <a:rPr lang="en-US" sz="1100" b="1" baseline="0"/>
              <a:t> Status</a:t>
            </a:r>
          </a:p>
        </c:rich>
      </c:tx>
      <c:layout>
        <c:manualLayout>
          <c:xMode val="edge"/>
          <c:yMode val="edge"/>
          <c:x val="0.30385085792847322"/>
          <c:y val="3.659454427170962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687074829931973"/>
              <c:y val="8.8183368104627888E-2"/>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5192743764172334E-2"/>
              <c:y val="-3.5612535612536919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3061224489796"/>
                  <c:h val="0.1802431747313637"/>
                </c:manualLayout>
              </c15:layout>
            </c:ext>
          </c:extLst>
        </c:dLbl>
      </c:pivotFmt>
      <c:pivotFmt>
        <c:idx val="3"/>
        <c:spPr>
          <a:solidFill>
            <a:schemeClr val="accent1"/>
          </a:solidFill>
          <a:ln w="19050">
            <a:solidFill>
              <a:schemeClr val="lt1"/>
            </a:solidFill>
          </a:ln>
          <a:effectLst/>
        </c:spPr>
        <c:marker>
          <c:symbol val="none"/>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5192743764172334E-2"/>
              <c:y val="-3.5612535612536919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3061224489796"/>
                  <c:h val="0.1802431747313637"/>
                </c:manualLayout>
              </c15:layout>
            </c:ext>
          </c:extLst>
        </c:dLbl>
      </c:pivotFmt>
      <c:pivotFmt>
        <c:idx val="5"/>
        <c:spPr>
          <a:solidFill>
            <a:schemeClr val="accent1"/>
          </a:solidFill>
          <a:ln w="19050">
            <a:solidFill>
              <a:schemeClr val="lt1"/>
            </a:solidFill>
          </a:ln>
          <a:effectLst/>
        </c:spPr>
        <c:dLbl>
          <c:idx val="0"/>
          <c:layout>
            <c:manualLayout>
              <c:x val="0.2687074829931973"/>
              <c:y val="8.8183368104627888E-2"/>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5192743764172334E-2"/>
              <c:y val="-3.5612535612536919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no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3061224489796"/>
                  <c:h val="0.1802431747313637"/>
                </c:manualLayout>
              </c15:layout>
            </c:ext>
          </c:extLst>
        </c:dLbl>
      </c:pivotFmt>
      <c:pivotFmt>
        <c:idx val="10"/>
        <c:spPr>
          <a:solidFill>
            <a:schemeClr val="accent1"/>
          </a:solidFill>
          <a:ln w="19050">
            <a:solidFill>
              <a:schemeClr val="lt1"/>
            </a:solidFill>
          </a:ln>
          <a:effectLst/>
        </c:spPr>
        <c:dLbl>
          <c:idx val="0"/>
          <c:layout>
            <c:manualLayout>
              <c:x val="0.33767309258756451"/>
              <c:y val="2.111443816001873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9500973356190254"/>
          <c:y val="0.15809442088969647"/>
          <c:w val="0.62231506775938727"/>
          <c:h val="0.78188303385153779"/>
        </c:manualLayout>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83-4F67-A2EF-D6836F379E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83-4F67-A2EF-D6836F379E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83-4F67-A2EF-D6836F379E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83-4F67-A2EF-D6836F379EE0}"/>
              </c:ext>
            </c:extLst>
          </c:dPt>
          <c:dLbls>
            <c:dLbl>
              <c:idx val="0"/>
              <c:layout>
                <c:manualLayout>
                  <c:x val="-6.5192743764172334E-2"/>
                  <c:y val="-3.5612535612536919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no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3061224489796"/>
                      <c:h val="0.1802431747313637"/>
                    </c:manualLayout>
                  </c15:layout>
                </c:ext>
                <c:ext xmlns:c16="http://schemas.microsoft.com/office/drawing/2014/chart" uri="{C3380CC4-5D6E-409C-BE32-E72D297353CC}">
                  <c16:uniqueId val="{00000001-9083-4F67-A2EF-D6836F379EE0}"/>
                </c:ext>
              </c:extLst>
            </c:dLbl>
            <c:dLbl>
              <c:idx val="1"/>
              <c:layout>
                <c:manualLayout>
                  <c:x val="0.33767309258756451"/>
                  <c:y val="2.111443816001873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083-4F67-A2EF-D6836F379EE0}"/>
                </c:ext>
              </c:extLst>
            </c:dLbl>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c:v>
                </c:pt>
                <c:pt idx="3">
                  <c:v>Return</c:v>
                </c:pt>
              </c:strCache>
            </c:strRef>
          </c:cat>
          <c:val>
            <c:numRef>
              <c:f>'Order Status'!$B$4:$B$7</c:f>
              <c:numCache>
                <c:formatCode>General</c:formatCode>
                <c:ptCount val="4"/>
                <c:pt idx="0">
                  <c:v>20</c:v>
                </c:pt>
                <c:pt idx="1">
                  <c:v>152</c:v>
                </c:pt>
                <c:pt idx="2">
                  <c:v>20</c:v>
                </c:pt>
                <c:pt idx="3">
                  <c:v>8</c:v>
                </c:pt>
              </c:numCache>
            </c:numRef>
          </c:val>
          <c:extLst>
            <c:ext xmlns:c16="http://schemas.microsoft.com/office/drawing/2014/chart" uri="{C3380CC4-5D6E-409C-BE32-E72D297353CC}">
              <c16:uniqueId val="{00000008-9083-4F67-A2EF-D6836F379EE0}"/>
            </c:ext>
          </c:extLst>
        </c:ser>
        <c:dLbls>
          <c:showLegendKey val="0"/>
          <c:showVal val="0"/>
          <c:showCatName val="0"/>
          <c:showSerName val="0"/>
          <c:showPercent val="0"/>
          <c:showBubbleSize val="0"/>
          <c:showLeaderLines val="0"/>
        </c:dLbls>
        <c:firstSliceAng val="1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analysis.xlsx]Sales  top 5 state!PivotTable5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Top 5 state</a:t>
            </a:r>
            <a:endParaRPr lang="en-US" sz="1400" b="1"/>
          </a:p>
        </c:rich>
      </c:tx>
      <c:layout>
        <c:manualLayout>
          <c:xMode val="edge"/>
          <c:yMode val="edge"/>
          <c:x val="0.29095066310543777"/>
          <c:y val="4.99375780274656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87555947463986"/>
          <c:y val="0.21577244613296659"/>
          <c:w val="0.68664897102304401"/>
          <c:h val="0.52658362277795734"/>
        </c:manualLayout>
      </c:layout>
      <c:barChart>
        <c:barDir val="bar"/>
        <c:grouping val="clustered"/>
        <c:varyColors val="0"/>
        <c:ser>
          <c:idx val="0"/>
          <c:order val="0"/>
          <c:tx>
            <c:strRef>
              <c:f>'Sales  top 5 state'!$B$3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top 5 state'!$A$4:$A$8</c:f>
              <c:strCache>
                <c:ptCount val="5"/>
                <c:pt idx="0">
                  <c:v>Karnataka</c:v>
                </c:pt>
                <c:pt idx="1">
                  <c:v>Madhya Pradesh</c:v>
                </c:pt>
                <c:pt idx="2">
                  <c:v>Maharashtra</c:v>
                </c:pt>
                <c:pt idx="3">
                  <c:v>Punjab</c:v>
                </c:pt>
                <c:pt idx="4">
                  <c:v>Telangana</c:v>
                </c:pt>
              </c:strCache>
            </c:strRef>
          </c:cat>
          <c:val>
            <c:numRef>
              <c:f>'Sales  top 5 state'!$B$4:$B$8</c:f>
              <c:numCache>
                <c:formatCode>General</c:formatCode>
                <c:ptCount val="5"/>
                <c:pt idx="0">
                  <c:v>20999</c:v>
                </c:pt>
                <c:pt idx="1">
                  <c:v>21419</c:v>
                </c:pt>
                <c:pt idx="2">
                  <c:v>19844</c:v>
                </c:pt>
                <c:pt idx="3">
                  <c:v>19695</c:v>
                </c:pt>
                <c:pt idx="4">
                  <c:v>20670</c:v>
                </c:pt>
              </c:numCache>
            </c:numRef>
          </c:val>
          <c:extLst>
            <c:ext xmlns:c16="http://schemas.microsoft.com/office/drawing/2014/chart" uri="{C3380CC4-5D6E-409C-BE32-E72D297353CC}">
              <c16:uniqueId val="{00000000-5A25-4D57-B78C-1A05C07100DF}"/>
            </c:ext>
          </c:extLst>
        </c:ser>
        <c:dLbls>
          <c:dLblPos val="outEnd"/>
          <c:showLegendKey val="0"/>
          <c:showVal val="1"/>
          <c:showCatName val="0"/>
          <c:showSerName val="0"/>
          <c:showPercent val="0"/>
          <c:showBubbleSize val="0"/>
        </c:dLbls>
        <c:gapWidth val="182"/>
        <c:axId val="216101887"/>
        <c:axId val="216095167"/>
      </c:barChart>
      <c:catAx>
        <c:axId val="21610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6095167"/>
        <c:crosses val="autoZero"/>
        <c:auto val="1"/>
        <c:lblAlgn val="ctr"/>
        <c:lblOffset val="100"/>
        <c:noMultiLvlLbl val="0"/>
      </c:catAx>
      <c:valAx>
        <c:axId val="21609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61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analysis.xlsx]AgeAnd Gender!PivotTable6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20603674540681"/>
          <c:y val="0.16101633129192183"/>
          <c:w val="0.75741447944007001"/>
          <c:h val="0.65390128317293672"/>
        </c:manualLayout>
      </c:layout>
      <c:barChart>
        <c:barDir val="col"/>
        <c:grouping val="clustered"/>
        <c:varyColors val="0"/>
        <c:ser>
          <c:idx val="0"/>
          <c:order val="0"/>
          <c:tx>
            <c:strRef>
              <c:f>'AgeAnd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'AgeAnd Gender'!$A$5:$A$7</c:f>
              <c:strCache>
                <c:ptCount val="3"/>
                <c:pt idx="0">
                  <c:v>Adult</c:v>
                </c:pt>
                <c:pt idx="1">
                  <c:v>Senior</c:v>
                </c:pt>
                <c:pt idx="2">
                  <c:v>Teenager</c:v>
                </c:pt>
              </c:strCache>
            </c:strRef>
          </c:cat>
          <c:val>
            <c:numRef>
              <c:f>'AgeAnd Gender'!$B$5:$B$7</c:f>
              <c:numCache>
                <c:formatCode>0.00%</c:formatCode>
                <c:ptCount val="3"/>
                <c:pt idx="0">
                  <c:v>0.14499999999999999</c:v>
                </c:pt>
                <c:pt idx="1">
                  <c:v>0.01</c:v>
                </c:pt>
                <c:pt idx="2">
                  <c:v>5.5E-2</c:v>
                </c:pt>
              </c:numCache>
            </c:numRef>
          </c:val>
          <c:extLst>
            <c:ext xmlns:c16="http://schemas.microsoft.com/office/drawing/2014/chart" uri="{C3380CC4-5D6E-409C-BE32-E72D297353CC}">
              <c16:uniqueId val="{00000000-9FFC-4CB2-ABAB-83F09F97E473}"/>
            </c:ext>
          </c:extLst>
        </c:ser>
        <c:ser>
          <c:idx val="1"/>
          <c:order val="1"/>
          <c:tx>
            <c:strRef>
              <c:f>'AgeAnd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'AgeAnd Gender'!$A$5:$A$7</c:f>
              <c:strCache>
                <c:ptCount val="3"/>
                <c:pt idx="0">
                  <c:v>Adult</c:v>
                </c:pt>
                <c:pt idx="1">
                  <c:v>Senior</c:v>
                </c:pt>
                <c:pt idx="2">
                  <c:v>Teenager</c:v>
                </c:pt>
              </c:strCache>
            </c:strRef>
          </c:cat>
          <c:val>
            <c:numRef>
              <c:f>'AgeAnd Gender'!$C$5:$C$7</c:f>
              <c:numCache>
                <c:formatCode>0.00%</c:formatCode>
                <c:ptCount val="3"/>
                <c:pt idx="0">
                  <c:v>0.53500000000000003</c:v>
                </c:pt>
                <c:pt idx="1">
                  <c:v>4.4999999999999998E-2</c:v>
                </c:pt>
                <c:pt idx="2">
                  <c:v>0.21</c:v>
                </c:pt>
              </c:numCache>
            </c:numRef>
          </c:val>
          <c:extLst>
            <c:ext xmlns:c16="http://schemas.microsoft.com/office/drawing/2014/chart" uri="{C3380CC4-5D6E-409C-BE32-E72D297353CC}">
              <c16:uniqueId val="{00000001-9FFC-4CB2-ABAB-83F09F97E473}"/>
            </c:ext>
          </c:extLst>
        </c:ser>
        <c:dLbls>
          <c:dLblPos val="outEnd"/>
          <c:showLegendKey val="0"/>
          <c:showVal val="1"/>
          <c:showCatName val="0"/>
          <c:showSerName val="0"/>
          <c:showPercent val="0"/>
          <c:showBubbleSize val="0"/>
        </c:dLbls>
        <c:gapWidth val="219"/>
        <c:overlap val="-27"/>
        <c:axId val="256334703"/>
        <c:axId val="256331343"/>
      </c:barChart>
      <c:catAx>
        <c:axId val="25633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31343"/>
        <c:crosses val="autoZero"/>
        <c:auto val="1"/>
        <c:lblAlgn val="ctr"/>
        <c:lblOffset val="100"/>
        <c:noMultiLvlLbl val="0"/>
      </c:catAx>
      <c:valAx>
        <c:axId val="2563313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34703"/>
        <c:crosses val="autoZero"/>
        <c:crossBetween val="between"/>
      </c:valAx>
      <c:spPr>
        <a:noFill/>
        <a:ln>
          <a:noFill/>
        </a:ln>
        <a:effectLst/>
      </c:spPr>
    </c:plotArea>
    <c:legend>
      <c:legendPos val="r"/>
      <c:layout>
        <c:manualLayout>
          <c:xMode val="edge"/>
          <c:yMode val="edge"/>
          <c:x val="0.63462051618547677"/>
          <c:y val="6.4167031204432776E-2"/>
          <c:w val="0.29593503937007876"/>
          <c:h val="9.85174249052201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analysis.xlsx]Channel!PivotTable7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Order:Channel</a:t>
            </a:r>
          </a:p>
        </c:rich>
      </c:tx>
      <c:layout>
        <c:manualLayout>
          <c:xMode val="edge"/>
          <c:yMode val="edge"/>
          <c:x val="0.26510975900739681"/>
          <c:y val="3.2565913828672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2047637795275588"/>
          <c:y val="0.2401367016622922"/>
          <c:w val="0.40591797900262466"/>
          <c:h val="0.67652996500437446"/>
        </c:manualLayout>
      </c:layout>
      <c:pieChart>
        <c:varyColors val="1"/>
        <c:ser>
          <c:idx val="0"/>
          <c:order val="0"/>
          <c:tx>
            <c:strRef>
              <c:f>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4-4EFC-8D68-A71A9DF2E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4-4EFC-8D68-A71A9DF2E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A4-4EFC-8D68-A71A9DF2EA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A4-4EFC-8D68-A71A9DF2EA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A4-4EFC-8D68-A71A9DF2EA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A4-4EFC-8D68-A71A9DF2EA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Channel!$A$4:$A$9</c:f>
              <c:strCache>
                <c:ptCount val="6"/>
                <c:pt idx="0">
                  <c:v>Ajio</c:v>
                </c:pt>
                <c:pt idx="1">
                  <c:v>Amazon</c:v>
                </c:pt>
                <c:pt idx="2">
                  <c:v>Flipkart</c:v>
                </c:pt>
                <c:pt idx="3">
                  <c:v>Meesho</c:v>
                </c:pt>
                <c:pt idx="4">
                  <c:v>Myntra</c:v>
                </c:pt>
                <c:pt idx="5">
                  <c:v>Other</c:v>
                </c:pt>
              </c:strCache>
            </c:strRef>
          </c:cat>
          <c:val>
            <c:numRef>
              <c:f>Channel!$B$4:$B$9</c:f>
              <c:numCache>
                <c:formatCode>0.0%</c:formatCode>
                <c:ptCount val="6"/>
                <c:pt idx="0">
                  <c:v>0.155</c:v>
                </c:pt>
                <c:pt idx="1">
                  <c:v>0.23499999999999999</c:v>
                </c:pt>
                <c:pt idx="2">
                  <c:v>0.155</c:v>
                </c:pt>
                <c:pt idx="3">
                  <c:v>0.15</c:v>
                </c:pt>
                <c:pt idx="4">
                  <c:v>0.155</c:v>
                </c:pt>
                <c:pt idx="5">
                  <c:v>0.15</c:v>
                </c:pt>
              </c:numCache>
            </c:numRef>
          </c:val>
          <c:extLst>
            <c:ext xmlns:c16="http://schemas.microsoft.com/office/drawing/2014/chart" uri="{C3380CC4-5D6E-409C-BE32-E72D297353CC}">
              <c16:uniqueId val="{0000000C-63A4-4EFC-8D68-A71A9DF2EAB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analysis.xlsx]Sales vs orders!PivotTable1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Sales</a:t>
            </a:r>
          </a:p>
        </c:rich>
      </c:tx>
      <c:layout>
        <c:manualLayout>
          <c:xMode val="edge"/>
          <c:yMode val="edge"/>
          <c:x val="0.11947222222222222"/>
          <c:y val="1.74978127734033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7171296296296296"/>
          <c:w val="0.81253171478565167"/>
          <c:h val="0.72088764946048411"/>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orders'!$A$4:$A$14</c:f>
              <c:strCache>
                <c:ptCount val="11"/>
                <c:pt idx="0">
                  <c:v>Jan</c:v>
                </c:pt>
                <c:pt idx="1">
                  <c:v>Feb</c:v>
                </c:pt>
                <c:pt idx="2">
                  <c:v>Mar</c:v>
                </c:pt>
                <c:pt idx="3">
                  <c:v>Apr</c:v>
                </c:pt>
                <c:pt idx="4">
                  <c:v>May</c:v>
                </c:pt>
                <c:pt idx="5">
                  <c:v>Jun</c:v>
                </c:pt>
                <c:pt idx="6">
                  <c:v>Jul</c:v>
                </c:pt>
                <c:pt idx="7">
                  <c:v>Aug</c:v>
                </c:pt>
                <c:pt idx="8">
                  <c:v>Sep</c:v>
                </c:pt>
                <c:pt idx="9">
                  <c:v>Nov</c:v>
                </c:pt>
                <c:pt idx="10">
                  <c:v>Dec</c:v>
                </c:pt>
              </c:strCache>
            </c:strRef>
          </c:cat>
          <c:val>
            <c:numRef>
              <c:f>'Sales vs orders'!$B$4:$B$14</c:f>
              <c:numCache>
                <c:formatCode>General</c:formatCode>
                <c:ptCount val="11"/>
                <c:pt idx="0">
                  <c:v>40826</c:v>
                </c:pt>
                <c:pt idx="1">
                  <c:v>22638</c:v>
                </c:pt>
                <c:pt idx="2">
                  <c:v>26949</c:v>
                </c:pt>
                <c:pt idx="3">
                  <c:v>19320</c:v>
                </c:pt>
                <c:pt idx="4">
                  <c:v>17064</c:v>
                </c:pt>
                <c:pt idx="5">
                  <c:v>14145</c:v>
                </c:pt>
                <c:pt idx="6">
                  <c:v>26248</c:v>
                </c:pt>
                <c:pt idx="7">
                  <c:v>21209</c:v>
                </c:pt>
                <c:pt idx="8">
                  <c:v>57428</c:v>
                </c:pt>
                <c:pt idx="9">
                  <c:v>77727</c:v>
                </c:pt>
                <c:pt idx="10">
                  <c:v>26324</c:v>
                </c:pt>
              </c:numCache>
            </c:numRef>
          </c:val>
          <c:extLst>
            <c:ext xmlns:c16="http://schemas.microsoft.com/office/drawing/2014/chart" uri="{C3380CC4-5D6E-409C-BE32-E72D297353CC}">
              <c16:uniqueId val="{00000000-0074-4616-B7BD-D3B04E7F8D55}"/>
            </c:ext>
          </c:extLst>
        </c:ser>
        <c:dLbls>
          <c:showLegendKey val="0"/>
          <c:showVal val="0"/>
          <c:showCatName val="0"/>
          <c:showSerName val="0"/>
          <c:showPercent val="0"/>
          <c:showBubbleSize val="0"/>
        </c:dLbls>
        <c:gapWidth val="219"/>
        <c:overlap val="-27"/>
        <c:axId val="1687736079"/>
        <c:axId val="1687739919"/>
      </c:barChart>
      <c:lineChart>
        <c:grouping val="standard"/>
        <c:varyColors val="0"/>
        <c:ser>
          <c:idx val="1"/>
          <c:order val="1"/>
          <c:tx>
            <c:strRef>
              <c:f>'Sales vs orders'!$C$3</c:f>
              <c:strCache>
                <c:ptCount val="1"/>
                <c:pt idx="0">
                  <c:v>Count of Order ID</c:v>
                </c:pt>
              </c:strCache>
            </c:strRef>
          </c:tx>
          <c:spPr>
            <a:ln w="28575" cap="rnd">
              <a:solidFill>
                <a:schemeClr val="accent2"/>
              </a:solidFill>
              <a:round/>
            </a:ln>
            <a:effectLst/>
          </c:spPr>
          <c:marker>
            <c:symbol val="none"/>
          </c:marker>
          <c:cat>
            <c:strRef>
              <c:f>'Sales vs orders'!$A$4:$A$14</c:f>
              <c:strCache>
                <c:ptCount val="11"/>
                <c:pt idx="0">
                  <c:v>Jan</c:v>
                </c:pt>
                <c:pt idx="1">
                  <c:v>Feb</c:v>
                </c:pt>
                <c:pt idx="2">
                  <c:v>Mar</c:v>
                </c:pt>
                <c:pt idx="3">
                  <c:v>Apr</c:v>
                </c:pt>
                <c:pt idx="4">
                  <c:v>May</c:v>
                </c:pt>
                <c:pt idx="5">
                  <c:v>Jun</c:v>
                </c:pt>
                <c:pt idx="6">
                  <c:v>Jul</c:v>
                </c:pt>
                <c:pt idx="7">
                  <c:v>Aug</c:v>
                </c:pt>
                <c:pt idx="8">
                  <c:v>Sep</c:v>
                </c:pt>
                <c:pt idx="9">
                  <c:v>Nov</c:v>
                </c:pt>
                <c:pt idx="10">
                  <c:v>Dec</c:v>
                </c:pt>
              </c:strCache>
            </c:strRef>
          </c:cat>
          <c:val>
            <c:numRef>
              <c:f>'Sales vs orders'!$C$4:$C$14</c:f>
              <c:numCache>
                <c:formatCode>General</c:formatCode>
                <c:ptCount val="11"/>
                <c:pt idx="0">
                  <c:v>26</c:v>
                </c:pt>
                <c:pt idx="1">
                  <c:v>11</c:v>
                </c:pt>
                <c:pt idx="2">
                  <c:v>14</c:v>
                </c:pt>
                <c:pt idx="3">
                  <c:v>10</c:v>
                </c:pt>
                <c:pt idx="4">
                  <c:v>10</c:v>
                </c:pt>
                <c:pt idx="5">
                  <c:v>8</c:v>
                </c:pt>
                <c:pt idx="6">
                  <c:v>16</c:v>
                </c:pt>
                <c:pt idx="7">
                  <c:v>12</c:v>
                </c:pt>
                <c:pt idx="8">
                  <c:v>33</c:v>
                </c:pt>
                <c:pt idx="9">
                  <c:v>45</c:v>
                </c:pt>
                <c:pt idx="10">
                  <c:v>15</c:v>
                </c:pt>
              </c:numCache>
            </c:numRef>
          </c:val>
          <c:smooth val="0"/>
          <c:extLst>
            <c:ext xmlns:c16="http://schemas.microsoft.com/office/drawing/2014/chart" uri="{C3380CC4-5D6E-409C-BE32-E72D297353CC}">
              <c16:uniqueId val="{00000001-0074-4616-B7BD-D3B04E7F8D55}"/>
            </c:ext>
          </c:extLst>
        </c:ser>
        <c:dLbls>
          <c:showLegendKey val="0"/>
          <c:showVal val="0"/>
          <c:showCatName val="0"/>
          <c:showSerName val="0"/>
          <c:showPercent val="0"/>
          <c:showBubbleSize val="0"/>
        </c:dLbls>
        <c:marker val="1"/>
        <c:smooth val="0"/>
        <c:axId val="1687762959"/>
        <c:axId val="1687762479"/>
      </c:lineChart>
      <c:catAx>
        <c:axId val="168773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39919"/>
        <c:crosses val="autoZero"/>
        <c:auto val="1"/>
        <c:lblAlgn val="ctr"/>
        <c:lblOffset val="100"/>
        <c:noMultiLvlLbl val="0"/>
      </c:catAx>
      <c:valAx>
        <c:axId val="1687739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36079"/>
        <c:crosses val="autoZero"/>
        <c:crossBetween val="between"/>
      </c:valAx>
      <c:valAx>
        <c:axId val="16877624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62959"/>
        <c:crosses val="max"/>
        <c:crossBetween val="between"/>
      </c:valAx>
      <c:catAx>
        <c:axId val="1687762959"/>
        <c:scaling>
          <c:orientation val="minMax"/>
        </c:scaling>
        <c:delete val="1"/>
        <c:axPos val="b"/>
        <c:numFmt formatCode="General" sourceLinked="1"/>
        <c:majorTickMark val="out"/>
        <c:minorTickMark val="none"/>
        <c:tickLblPos val="nextTo"/>
        <c:crossAx val="1687762479"/>
        <c:crosses val="autoZero"/>
        <c:auto val="1"/>
        <c:lblAlgn val="ctr"/>
        <c:lblOffset val="100"/>
        <c:noMultiLvlLbl val="0"/>
      </c:catAx>
      <c:spPr>
        <a:noFill/>
        <a:ln>
          <a:noFill/>
        </a:ln>
        <a:effectLst/>
      </c:spPr>
    </c:plotArea>
    <c:legend>
      <c:legendPos val="r"/>
      <c:layout>
        <c:manualLayout>
          <c:xMode val="edge"/>
          <c:yMode val="edge"/>
          <c:x val="0.47674912510936135"/>
          <c:y val="4.1903616214639854E-3"/>
          <c:w val="0.48436198600174979"/>
          <c:h val="0.10314705453484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analysis.xlsx]Men Vs Women!PivotTable2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Men Vs Women</a:t>
            </a:r>
            <a:endParaRPr lang="en-US"/>
          </a:p>
        </c:rich>
      </c:tx>
      <c:layout>
        <c:manualLayout>
          <c:xMode val="edge"/>
          <c:yMode val="edge"/>
          <c:x val="0.1109166666666666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dLbl>
          <c:idx val="0"/>
          <c:layout>
            <c:manualLayout>
              <c:x val="-8.3333333333333329E-2"/>
              <c:y val="0.1574074074074074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9900"/>
          </a:solidFill>
          <a:ln w="19050">
            <a:solidFill>
              <a:schemeClr val="lt1"/>
            </a:solidFill>
          </a:ln>
          <a:effectLst/>
        </c:spPr>
        <c:dLbl>
          <c:idx val="0"/>
          <c:layout>
            <c:manualLayout>
              <c:x val="0.1361111111111111"/>
              <c:y val="-0.2175925925925925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Women'!$B$3</c:f>
              <c:strCache>
                <c:ptCount val="1"/>
                <c:pt idx="0">
                  <c:v>Total</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2-5DB2-4576-97EF-4626763B266A}"/>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5DB2-4576-97EF-4626763B266A}"/>
              </c:ext>
            </c:extLst>
          </c:dPt>
          <c:dLbls>
            <c:dLbl>
              <c:idx val="0"/>
              <c:layout>
                <c:manualLayout>
                  <c:x val="-8.3333333333333329E-2"/>
                  <c:y val="0.1574074074074074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5DB2-4576-97EF-4626763B266A}"/>
                </c:ext>
              </c:extLst>
            </c:dLbl>
            <c:dLbl>
              <c:idx val="1"/>
              <c:layout>
                <c:manualLayout>
                  <c:x val="0.1361111111111111"/>
                  <c:y val="-0.2175925925925925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DB2-4576-97EF-4626763B266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70754</c:v>
                </c:pt>
                <c:pt idx="1">
                  <c:v>279124</c:v>
                </c:pt>
              </c:numCache>
            </c:numRef>
          </c:val>
          <c:extLst>
            <c:ext xmlns:c16="http://schemas.microsoft.com/office/drawing/2014/chart" uri="{C3380CC4-5D6E-409C-BE32-E72D297353CC}">
              <c16:uniqueId val="{00000000-5DB2-4576-97EF-4626763B266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analysis.xlsx]Order Status!PivotTable3</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Order</a:t>
            </a:r>
            <a:r>
              <a:rPr lang="en-US" sz="1100" b="1" baseline="0"/>
              <a:t> Status</a:t>
            </a:r>
          </a:p>
        </c:rich>
      </c:tx>
      <c:layout>
        <c:manualLayout>
          <c:xMode val="edge"/>
          <c:yMode val="edge"/>
          <c:x val="0.30385085792847322"/>
          <c:y val="3.659454427170962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687074829931973"/>
              <c:y val="8.8183368104627888E-2"/>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5192743764172334E-2"/>
              <c:y val="-3.5612535612536919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3061224489796"/>
                  <c:h val="0.1802431747313637"/>
                </c:manualLayout>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9500973356190254"/>
          <c:y val="0.15809442088969647"/>
          <c:w val="0.62231506775938727"/>
          <c:h val="0.78188303385153779"/>
        </c:manualLayout>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ECB-434F-A196-77247C0641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ECB-434F-A196-77247C0641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91-4E45-9E01-083FCA2261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2ECB-434F-A196-77247C0641EB}"/>
              </c:ext>
            </c:extLst>
          </c:dPt>
          <c:dLbls>
            <c:dLbl>
              <c:idx val="0"/>
              <c:layout>
                <c:manualLayout>
                  <c:x val="-6.5192743764172334E-2"/>
                  <c:y val="-3.5612535612536919E-3"/>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3061224489796"/>
                      <c:h val="0.1802431747313637"/>
                    </c:manualLayout>
                  </c15:layout>
                </c:ext>
                <c:ext xmlns:c16="http://schemas.microsoft.com/office/drawing/2014/chart" uri="{C3380CC4-5D6E-409C-BE32-E72D297353CC}">
                  <c16:uniqueId val="{00000002-2ECB-434F-A196-77247C0641EB}"/>
                </c:ext>
              </c:extLst>
            </c:dLbl>
            <c:dLbl>
              <c:idx val="1"/>
              <c:layout>
                <c:manualLayout>
                  <c:x val="0.2687074829931973"/>
                  <c:y val="8.8183368104627888E-2"/>
                </c:manualLayout>
              </c:layout>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2ECB-434F-A196-77247C0641EB}"/>
                </c:ext>
              </c:extLst>
            </c:dLbl>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c:v>
                </c:pt>
                <c:pt idx="3">
                  <c:v>Return</c:v>
                </c:pt>
              </c:strCache>
            </c:strRef>
          </c:cat>
          <c:val>
            <c:numRef>
              <c:f>'Order Status'!$B$4:$B$7</c:f>
              <c:numCache>
                <c:formatCode>General</c:formatCode>
                <c:ptCount val="4"/>
                <c:pt idx="0">
                  <c:v>20</c:v>
                </c:pt>
                <c:pt idx="1">
                  <c:v>152</c:v>
                </c:pt>
                <c:pt idx="2">
                  <c:v>20</c:v>
                </c:pt>
                <c:pt idx="3">
                  <c:v>8</c:v>
                </c:pt>
              </c:numCache>
            </c:numRef>
          </c:val>
          <c:extLst>
            <c:ext xmlns:c16="http://schemas.microsoft.com/office/drawing/2014/chart" uri="{C3380CC4-5D6E-409C-BE32-E72D297353CC}">
              <c16:uniqueId val="{00000000-2ECB-434F-A196-77247C0641EB}"/>
            </c:ext>
          </c:extLst>
        </c:ser>
        <c:dLbls>
          <c:showLegendKey val="0"/>
          <c:showVal val="0"/>
          <c:showCatName val="0"/>
          <c:showSerName val="0"/>
          <c:showPercent val="0"/>
          <c:showBubbleSize val="0"/>
          <c:showLeaderLines val="0"/>
        </c:dLbls>
        <c:firstSliceAng val="1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analysis.xlsx]Sales  top 5 state!PivotTable5</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Top 5 state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87555947463986"/>
          <c:y val="0.21577244613296659"/>
          <c:w val="0.68664897102304401"/>
          <c:h val="0.52658362277795734"/>
        </c:manualLayout>
      </c:layout>
      <c:barChart>
        <c:barDir val="bar"/>
        <c:grouping val="clustered"/>
        <c:varyColors val="0"/>
        <c:ser>
          <c:idx val="0"/>
          <c:order val="0"/>
          <c:tx>
            <c:strRef>
              <c:f>'Sales  top 5 state'!$B$3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top 5 state'!$A$4:$A$8</c:f>
              <c:strCache>
                <c:ptCount val="5"/>
                <c:pt idx="0">
                  <c:v>Karnataka</c:v>
                </c:pt>
                <c:pt idx="1">
                  <c:v>Madhya Pradesh</c:v>
                </c:pt>
                <c:pt idx="2">
                  <c:v>Maharashtra</c:v>
                </c:pt>
                <c:pt idx="3">
                  <c:v>Punjab</c:v>
                </c:pt>
                <c:pt idx="4">
                  <c:v>Telangana</c:v>
                </c:pt>
              </c:strCache>
            </c:strRef>
          </c:cat>
          <c:val>
            <c:numRef>
              <c:f>'Sales  top 5 state'!$B$4:$B$8</c:f>
              <c:numCache>
                <c:formatCode>General</c:formatCode>
                <c:ptCount val="5"/>
                <c:pt idx="0">
                  <c:v>20999</c:v>
                </c:pt>
                <c:pt idx="1">
                  <c:v>21419</c:v>
                </c:pt>
                <c:pt idx="2">
                  <c:v>19844</c:v>
                </c:pt>
                <c:pt idx="3">
                  <c:v>19695</c:v>
                </c:pt>
                <c:pt idx="4">
                  <c:v>20670</c:v>
                </c:pt>
              </c:numCache>
            </c:numRef>
          </c:val>
          <c:extLst>
            <c:ext xmlns:c16="http://schemas.microsoft.com/office/drawing/2014/chart" uri="{C3380CC4-5D6E-409C-BE32-E72D297353CC}">
              <c16:uniqueId val="{00000000-C911-4825-BC16-F17B5CCF8DAF}"/>
            </c:ext>
          </c:extLst>
        </c:ser>
        <c:dLbls>
          <c:dLblPos val="outEnd"/>
          <c:showLegendKey val="0"/>
          <c:showVal val="1"/>
          <c:showCatName val="0"/>
          <c:showSerName val="0"/>
          <c:showPercent val="0"/>
          <c:showBubbleSize val="0"/>
        </c:dLbls>
        <c:gapWidth val="182"/>
        <c:axId val="216101887"/>
        <c:axId val="216095167"/>
      </c:barChart>
      <c:catAx>
        <c:axId val="21610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6095167"/>
        <c:crosses val="autoZero"/>
        <c:auto val="1"/>
        <c:lblAlgn val="ctr"/>
        <c:lblOffset val="100"/>
        <c:noMultiLvlLbl val="0"/>
      </c:catAx>
      <c:valAx>
        <c:axId val="21609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61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analysis.xlsx]AgeAnd Gender!PivotTable6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s>
    <c:plotArea>
      <c:layout>
        <c:manualLayout>
          <c:layoutTarget val="inner"/>
          <c:xMode val="edge"/>
          <c:yMode val="edge"/>
          <c:x val="0.15220603674540681"/>
          <c:y val="0.16101633129192183"/>
          <c:w val="0.75741447944007001"/>
          <c:h val="0.65390128317293672"/>
        </c:manualLayout>
      </c:layout>
      <c:barChart>
        <c:barDir val="col"/>
        <c:grouping val="clustered"/>
        <c:varyColors val="0"/>
        <c:ser>
          <c:idx val="0"/>
          <c:order val="0"/>
          <c:tx>
            <c:strRef>
              <c:f>'AgeAnd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'AgeAnd Gender'!$A$5:$A$7</c:f>
              <c:strCache>
                <c:ptCount val="3"/>
                <c:pt idx="0">
                  <c:v>Adult</c:v>
                </c:pt>
                <c:pt idx="1">
                  <c:v>Senior</c:v>
                </c:pt>
                <c:pt idx="2">
                  <c:v>Teenager</c:v>
                </c:pt>
              </c:strCache>
            </c:strRef>
          </c:cat>
          <c:val>
            <c:numRef>
              <c:f>'AgeAnd Gender'!$B$5:$B$7</c:f>
              <c:numCache>
                <c:formatCode>0.00%</c:formatCode>
                <c:ptCount val="3"/>
                <c:pt idx="0">
                  <c:v>0.14499999999999999</c:v>
                </c:pt>
                <c:pt idx="1">
                  <c:v>0.01</c:v>
                </c:pt>
                <c:pt idx="2">
                  <c:v>5.5E-2</c:v>
                </c:pt>
              </c:numCache>
            </c:numRef>
          </c:val>
          <c:extLst>
            <c:ext xmlns:c16="http://schemas.microsoft.com/office/drawing/2014/chart" uri="{C3380CC4-5D6E-409C-BE32-E72D297353CC}">
              <c16:uniqueId val="{00000000-F0FF-401B-AFCC-1EE736F8BF4C}"/>
            </c:ext>
          </c:extLst>
        </c:ser>
        <c:ser>
          <c:idx val="1"/>
          <c:order val="1"/>
          <c:tx>
            <c:strRef>
              <c:f>'AgeAnd Gender'!$C$3:$C$4</c:f>
              <c:strCache>
                <c:ptCount val="1"/>
                <c:pt idx="0">
                  <c:v>Women</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F0FF-401B-AFCC-1EE736F8BF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'AgeAnd Gender'!$A$5:$A$7</c:f>
              <c:strCache>
                <c:ptCount val="3"/>
                <c:pt idx="0">
                  <c:v>Adult</c:v>
                </c:pt>
                <c:pt idx="1">
                  <c:v>Senior</c:v>
                </c:pt>
                <c:pt idx="2">
                  <c:v>Teenager</c:v>
                </c:pt>
              </c:strCache>
            </c:strRef>
          </c:cat>
          <c:val>
            <c:numRef>
              <c:f>'AgeAnd Gender'!$C$5:$C$7</c:f>
              <c:numCache>
                <c:formatCode>0.00%</c:formatCode>
                <c:ptCount val="3"/>
                <c:pt idx="0">
                  <c:v>0.53500000000000003</c:v>
                </c:pt>
                <c:pt idx="1">
                  <c:v>4.4999999999999998E-2</c:v>
                </c:pt>
                <c:pt idx="2">
                  <c:v>0.21</c:v>
                </c:pt>
              </c:numCache>
            </c:numRef>
          </c:val>
          <c:extLst>
            <c:ext xmlns:c16="http://schemas.microsoft.com/office/drawing/2014/chart" uri="{C3380CC4-5D6E-409C-BE32-E72D297353CC}">
              <c16:uniqueId val="{00000001-F0FF-401B-AFCC-1EE736F8BF4C}"/>
            </c:ext>
          </c:extLst>
        </c:ser>
        <c:dLbls>
          <c:dLblPos val="outEnd"/>
          <c:showLegendKey val="0"/>
          <c:showVal val="1"/>
          <c:showCatName val="0"/>
          <c:showSerName val="0"/>
          <c:showPercent val="0"/>
          <c:showBubbleSize val="0"/>
        </c:dLbls>
        <c:gapWidth val="219"/>
        <c:overlap val="-27"/>
        <c:axId val="256334703"/>
        <c:axId val="256331343"/>
      </c:barChart>
      <c:catAx>
        <c:axId val="25633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31343"/>
        <c:crosses val="autoZero"/>
        <c:auto val="1"/>
        <c:lblAlgn val="ctr"/>
        <c:lblOffset val="100"/>
        <c:noMultiLvlLbl val="0"/>
      </c:catAx>
      <c:valAx>
        <c:axId val="2563313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34703"/>
        <c:crosses val="autoZero"/>
        <c:crossBetween val="between"/>
      </c:valAx>
      <c:spPr>
        <a:noFill/>
        <a:ln>
          <a:noFill/>
        </a:ln>
        <a:effectLst/>
      </c:spPr>
    </c:plotArea>
    <c:legend>
      <c:legendPos val="r"/>
      <c:layout>
        <c:manualLayout>
          <c:xMode val="edge"/>
          <c:yMode val="edge"/>
          <c:x val="0.63462051618547677"/>
          <c:y val="6.4167031204432776E-2"/>
          <c:w val="0.29593503937007876"/>
          <c:h val="9.85174249052201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shop analysis.xlsx]Channel!PivotTable7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Order:Channel</a:t>
            </a:r>
          </a:p>
        </c:rich>
      </c:tx>
      <c:layout>
        <c:manualLayout>
          <c:xMode val="edge"/>
          <c:yMode val="edge"/>
          <c:x val="0.26510975900739681"/>
          <c:y val="3.2565913828672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2047637795275588"/>
          <c:y val="0.2401367016622922"/>
          <c:w val="0.40591797900262466"/>
          <c:h val="0.67652996500437446"/>
        </c:manualLayout>
      </c:layout>
      <c:pieChart>
        <c:varyColors val="1"/>
        <c:ser>
          <c:idx val="0"/>
          <c:order val="0"/>
          <c:tx>
            <c:strRef>
              <c:f>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49-498D-B10F-E586FB0D17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49-498D-B10F-E586FB0D17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49-498D-B10F-E586FB0D17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49-498D-B10F-E586FB0D17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49-498D-B10F-E586FB0D17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49-498D-B10F-E586FB0D17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Channel!$A$4:$A$9</c:f>
              <c:strCache>
                <c:ptCount val="6"/>
                <c:pt idx="0">
                  <c:v>Ajio</c:v>
                </c:pt>
                <c:pt idx="1">
                  <c:v>Amazon</c:v>
                </c:pt>
                <c:pt idx="2">
                  <c:v>Flipkart</c:v>
                </c:pt>
                <c:pt idx="3">
                  <c:v>Meesho</c:v>
                </c:pt>
                <c:pt idx="4">
                  <c:v>Myntra</c:v>
                </c:pt>
                <c:pt idx="5">
                  <c:v>Other</c:v>
                </c:pt>
              </c:strCache>
            </c:strRef>
          </c:cat>
          <c:val>
            <c:numRef>
              <c:f>Channel!$B$4:$B$9</c:f>
              <c:numCache>
                <c:formatCode>0.0%</c:formatCode>
                <c:ptCount val="6"/>
                <c:pt idx="0">
                  <c:v>0.155</c:v>
                </c:pt>
                <c:pt idx="1">
                  <c:v>0.23499999999999999</c:v>
                </c:pt>
                <c:pt idx="2">
                  <c:v>0.155</c:v>
                </c:pt>
                <c:pt idx="3">
                  <c:v>0.15</c:v>
                </c:pt>
                <c:pt idx="4">
                  <c:v>0.155</c:v>
                </c:pt>
                <c:pt idx="5">
                  <c:v>0.15</c:v>
                </c:pt>
              </c:numCache>
            </c:numRef>
          </c:val>
          <c:extLst>
            <c:ext xmlns:c16="http://schemas.microsoft.com/office/drawing/2014/chart" uri="{C3380CC4-5D6E-409C-BE32-E72D297353CC}">
              <c16:uniqueId val="{00000000-95FD-4D00-807B-CD122A9C1A9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53340</xdr:colOff>
      <xdr:row>1</xdr:row>
      <xdr:rowOff>144780</xdr:rowOff>
    </xdr:from>
    <xdr:to>
      <xdr:col>9</xdr:col>
      <xdr:colOff>152400</xdr:colOff>
      <xdr:row>12</xdr:row>
      <xdr:rowOff>7620</xdr:rowOff>
    </xdr:to>
    <xdr:graphicFrame macro="">
      <xdr:nvGraphicFramePr>
        <xdr:cNvPr id="2" name="Chart 1">
          <a:extLst>
            <a:ext uri="{FF2B5EF4-FFF2-40B4-BE49-F238E27FC236}">
              <a16:creationId xmlns:a16="http://schemas.microsoft.com/office/drawing/2014/main" id="{E07151C1-706E-4585-AA2E-4F1305986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373380</xdr:colOff>
      <xdr:row>2</xdr:row>
      <xdr:rowOff>15240</xdr:rowOff>
    </xdr:from>
    <xdr:to>
      <xdr:col>13</xdr:col>
      <xdr:colOff>434340</xdr:colOff>
      <xdr:row>10</xdr:row>
      <xdr:rowOff>160020</xdr:rowOff>
    </xdr:to>
    <xdr:graphicFrame macro="">
      <xdr:nvGraphicFramePr>
        <xdr:cNvPr id="3" name="Chart 2">
          <a:extLst>
            <a:ext uri="{FF2B5EF4-FFF2-40B4-BE49-F238E27FC236}">
              <a16:creationId xmlns:a16="http://schemas.microsoft.com/office/drawing/2014/main" id="{85B00F50-53AD-4E01-86C4-28954D2C8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586740</xdr:colOff>
      <xdr:row>2</xdr:row>
      <xdr:rowOff>22860</xdr:rowOff>
    </xdr:from>
    <xdr:to>
      <xdr:col>18</xdr:col>
      <xdr:colOff>365760</xdr:colOff>
      <xdr:row>11</xdr:row>
      <xdr:rowOff>30480</xdr:rowOff>
    </xdr:to>
    <xdr:graphicFrame macro="">
      <xdr:nvGraphicFramePr>
        <xdr:cNvPr id="4" name="Chart 3">
          <a:extLst>
            <a:ext uri="{FF2B5EF4-FFF2-40B4-BE49-F238E27FC236}">
              <a16:creationId xmlns:a16="http://schemas.microsoft.com/office/drawing/2014/main" id="{4928F4F5-998F-4BF9-A5B6-4E6B5B3F9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365760</xdr:colOff>
      <xdr:row>12</xdr:row>
      <xdr:rowOff>160020</xdr:rowOff>
    </xdr:from>
    <xdr:to>
      <xdr:col>7</xdr:col>
      <xdr:colOff>601980</xdr:colOff>
      <xdr:row>23</xdr:row>
      <xdr:rowOff>175260</xdr:rowOff>
    </xdr:to>
    <xdr:graphicFrame macro="">
      <xdr:nvGraphicFramePr>
        <xdr:cNvPr id="5" name="Chart 4">
          <a:extLst>
            <a:ext uri="{FF2B5EF4-FFF2-40B4-BE49-F238E27FC236}">
              <a16:creationId xmlns:a16="http://schemas.microsoft.com/office/drawing/2014/main" id="{439BFC45-5179-44FD-B3F9-F895599E3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114300</xdr:colOff>
      <xdr:row>13</xdr:row>
      <xdr:rowOff>7620</xdr:rowOff>
    </xdr:from>
    <xdr:to>
      <xdr:col>13</xdr:col>
      <xdr:colOff>411480</xdr:colOff>
      <xdr:row>22</xdr:row>
      <xdr:rowOff>129540</xdr:rowOff>
    </xdr:to>
    <xdr:graphicFrame macro="">
      <xdr:nvGraphicFramePr>
        <xdr:cNvPr id="6" name="Chart 5">
          <a:extLst>
            <a:ext uri="{FF2B5EF4-FFF2-40B4-BE49-F238E27FC236}">
              <a16:creationId xmlns:a16="http://schemas.microsoft.com/office/drawing/2014/main" id="{B9BD67BE-8821-4E3E-BD04-262450315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579120</xdr:colOff>
      <xdr:row>12</xdr:row>
      <xdr:rowOff>167640</xdr:rowOff>
    </xdr:from>
    <xdr:to>
      <xdr:col>18</xdr:col>
      <xdr:colOff>396240</xdr:colOff>
      <xdr:row>23</xdr:row>
      <xdr:rowOff>121920</xdr:rowOff>
    </xdr:to>
    <xdr:graphicFrame macro="">
      <xdr:nvGraphicFramePr>
        <xdr:cNvPr id="7" name="Chart 6">
          <a:extLst>
            <a:ext uri="{FF2B5EF4-FFF2-40B4-BE49-F238E27FC236}">
              <a16:creationId xmlns:a16="http://schemas.microsoft.com/office/drawing/2014/main" id="{B6812950-0333-4987-AB32-C998B01C9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220980</xdr:colOff>
      <xdr:row>1</xdr:row>
      <xdr:rowOff>83819</xdr:rowOff>
    </xdr:from>
    <xdr:to>
      <xdr:col>2</xdr:col>
      <xdr:colOff>510540</xdr:colOff>
      <xdr:row>9</xdr:row>
      <xdr:rowOff>45720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937D8901-9FDF-FA05-A0A5-03CF0EB3B37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0980" y="388619"/>
              <a:ext cx="1508760" cy="1432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9</xdr:row>
      <xdr:rowOff>91440</xdr:rowOff>
    </xdr:from>
    <xdr:to>
      <xdr:col>2</xdr:col>
      <xdr:colOff>236220</xdr:colOff>
      <xdr:row>16</xdr:row>
      <xdr:rowOff>0</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149DC8A7-99F7-3277-D3E1-333C9A44919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43840" y="1866900"/>
              <a:ext cx="121158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16</xdr:row>
      <xdr:rowOff>38100</xdr:rowOff>
    </xdr:from>
    <xdr:to>
      <xdr:col>2</xdr:col>
      <xdr:colOff>213360</xdr:colOff>
      <xdr:row>25</xdr:row>
      <xdr:rowOff>76199</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EF610673-61B9-768C-F421-BD5AD27396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3840" y="3093720"/>
              <a:ext cx="1188720" cy="1684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358140</xdr:colOff>
      <xdr:row>3</xdr:row>
      <xdr:rowOff>45720</xdr:rowOff>
    </xdr:from>
    <xdr:to>
      <xdr:col>13</xdr:col>
      <xdr:colOff>480060</xdr:colOff>
      <xdr:row>18</xdr:row>
      <xdr:rowOff>38100</xdr:rowOff>
    </xdr:to>
    <xdr:graphicFrame macro="">
      <xdr:nvGraphicFramePr>
        <xdr:cNvPr id="2" name="Chart 1">
          <a:extLst>
            <a:ext uri="{FF2B5EF4-FFF2-40B4-BE49-F238E27FC236}">
              <a16:creationId xmlns:a16="http://schemas.microsoft.com/office/drawing/2014/main" id="{A16BEEBB-F9F4-C95B-2F32-4659801D4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6</xdr:row>
      <xdr:rowOff>45720</xdr:rowOff>
    </xdr:from>
    <xdr:to>
      <xdr:col>11</xdr:col>
      <xdr:colOff>365760</xdr:colOff>
      <xdr:row>21</xdr:row>
      <xdr:rowOff>45720</xdr:rowOff>
    </xdr:to>
    <xdr:graphicFrame macro="">
      <xdr:nvGraphicFramePr>
        <xdr:cNvPr id="2" name="Chart 1">
          <a:extLst>
            <a:ext uri="{FF2B5EF4-FFF2-40B4-BE49-F238E27FC236}">
              <a16:creationId xmlns:a16="http://schemas.microsoft.com/office/drawing/2014/main" id="{EB1046F3-C304-FCC1-249E-12FC15E63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83820</xdr:colOff>
      <xdr:row>8</xdr:row>
      <xdr:rowOff>114300</xdr:rowOff>
    </xdr:from>
    <xdr:to>
      <xdr:col>9</xdr:col>
      <xdr:colOff>601980</xdr:colOff>
      <xdr:row>19</xdr:row>
      <xdr:rowOff>144780</xdr:rowOff>
    </xdr:to>
    <xdr:graphicFrame macro="">
      <xdr:nvGraphicFramePr>
        <xdr:cNvPr id="2" name="Chart 1">
          <a:extLst>
            <a:ext uri="{FF2B5EF4-FFF2-40B4-BE49-F238E27FC236}">
              <a16:creationId xmlns:a16="http://schemas.microsoft.com/office/drawing/2014/main" id="{4E9A1F05-63F5-6620-B77B-55EF3C9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201706</xdr:colOff>
      <xdr:row>9</xdr:row>
      <xdr:rowOff>161365</xdr:rowOff>
    </xdr:from>
    <xdr:to>
      <xdr:col>12</xdr:col>
      <xdr:colOff>475129</xdr:colOff>
      <xdr:row>24</xdr:row>
      <xdr:rowOff>8965</xdr:rowOff>
    </xdr:to>
    <xdr:graphicFrame macro="">
      <xdr:nvGraphicFramePr>
        <xdr:cNvPr id="2" name="Chart 1">
          <a:extLst>
            <a:ext uri="{FF2B5EF4-FFF2-40B4-BE49-F238E27FC236}">
              <a16:creationId xmlns:a16="http://schemas.microsoft.com/office/drawing/2014/main" id="{B56673DD-1612-DD2A-7BBA-7F8BC9CAD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281940</xdr:colOff>
      <xdr:row>2</xdr:row>
      <xdr:rowOff>137160</xdr:rowOff>
    </xdr:from>
    <xdr:to>
      <xdr:col>10</xdr:col>
      <xdr:colOff>342900</xdr:colOff>
      <xdr:row>14</xdr:row>
      <xdr:rowOff>152400</xdr:rowOff>
    </xdr:to>
    <xdr:graphicFrame macro="">
      <xdr:nvGraphicFramePr>
        <xdr:cNvPr id="2" name="Chart 1">
          <a:extLst>
            <a:ext uri="{FF2B5EF4-FFF2-40B4-BE49-F238E27FC236}">
              <a16:creationId xmlns:a16="http://schemas.microsoft.com/office/drawing/2014/main" id="{9B1D5610-8883-0ADE-B8F2-2E8281E7B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518160</xdr:colOff>
      <xdr:row>5</xdr:row>
      <xdr:rowOff>99060</xdr:rowOff>
    </xdr:from>
    <xdr:to>
      <xdr:col>11</xdr:col>
      <xdr:colOff>60960</xdr:colOff>
      <xdr:row>16</xdr:row>
      <xdr:rowOff>99060</xdr:rowOff>
    </xdr:to>
    <xdr:graphicFrame macro="">
      <xdr:nvGraphicFramePr>
        <xdr:cNvPr id="2" name="Chart 1">
          <a:extLst>
            <a:ext uri="{FF2B5EF4-FFF2-40B4-BE49-F238E27FC236}">
              <a16:creationId xmlns:a16="http://schemas.microsoft.com/office/drawing/2014/main" id="{C7F78C34-35C9-0E23-0FFA-DB9E5D97E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singh" refreshedDate="46021.826447569445" createdVersion="8" refreshedVersion="8" minRefreshableVersion="3" recordCount="200" xr:uid="{572D0509-CB42-40D2-AA99-B46ED664C533}">
  <cacheSource type="worksheet">
    <worksheetSource ref="A1:S201" sheet="Sheet1"/>
  </cacheSource>
  <cacheFields count="19">
    <cacheField name="index" numFmtId="0">
      <sharedItems containsSemiMixedTypes="0" containsString="0" containsNumber="1" containsInteger="1" minValue="1" maxValue="200"/>
    </cacheField>
    <cacheField name="Order ID" numFmtId="0">
      <sharedItems/>
    </cacheField>
    <cacheField name="Cust ID" numFmtId="0">
      <sharedItems containsSemiMixedTypes="0" containsString="0" containsNumber="1" containsInteger="1" minValue="218342" maxValue="9482031"/>
    </cacheField>
    <cacheField name="Gender" numFmtId="0">
      <sharedItems count="2">
        <s v="Women"/>
        <s v="Men"/>
      </sharedItems>
    </cacheField>
    <cacheField name="Age" numFmtId="0">
      <sharedItems containsSemiMixedTypes="0" containsString="0" containsNumber="1" containsInteger="1" minValue="23" maxValue="77"/>
    </cacheField>
    <cacheField name="Age Group" numFmtId="0">
      <sharedItems count="3">
        <s v="Senior"/>
        <s v="Adult"/>
        <s v="Teenager"/>
      </sharedItems>
    </cacheField>
    <cacheField name="Date" numFmtId="14">
      <sharedItems containsSemiMixedTypes="0" containsNonDate="0" containsDate="1" containsString="0" minDate="2022-01-04T00:00:00" maxDate="2023-01-15T00:00:00"/>
    </cacheField>
    <cacheField name="Month" numFmtId="14">
      <sharedItems count="11">
        <s v="Jan"/>
        <s v="Feb"/>
        <s v="Mar"/>
        <s v="Apr"/>
        <s v="May"/>
        <s v="Jun"/>
        <s v="Jul"/>
        <s v="Aug"/>
        <s v="Sep"/>
        <s v="Nov"/>
        <s v="Dec"/>
      </sharedItems>
    </cacheField>
    <cacheField name="Status" numFmtId="0">
      <sharedItems count="4">
        <s v="Delivered"/>
        <s v="Cancelled"/>
        <s v="Refund"/>
        <s v="Return"/>
      </sharedItems>
    </cacheField>
    <cacheField name="Channel" numFmtId="0">
      <sharedItems count="6">
        <s v="Amazon"/>
        <s v="Flipkart"/>
        <s v="Ajio"/>
        <s v="Myntra"/>
        <s v="Meesho"/>
        <s v="Other"/>
      </sharedItems>
    </cacheField>
    <cacheField name="SKU" numFmtId="0">
      <sharedItems/>
    </cacheField>
    <cacheField name="Category" numFmtId="0">
      <sharedItems count="8">
        <s v="Blouse"/>
        <s v="Bottom"/>
        <s v="Ethnic Dress"/>
        <s v="Kurta"/>
        <s v="Saree"/>
        <s v="Set"/>
        <s v="Top"/>
        <s v="Western Dress"/>
      </sharedItems>
    </cacheField>
    <cacheField name="Size" numFmtId="0">
      <sharedItems/>
    </cacheField>
    <cacheField name="Qty" numFmtId="0">
      <sharedItems containsSemiMixedTypes="0" containsString="0" containsNumber="1" containsInteger="1" minValue="1" maxValue="5"/>
    </cacheField>
    <cacheField name="Amount" numFmtId="0">
      <sharedItems containsSemiMixedTypes="0" containsString="0" containsNumber="1" containsInteger="1" minValue="199" maxValue="4250"/>
    </cacheField>
    <cacheField name="Ship -City" numFmtId="0">
      <sharedItems/>
    </cacheField>
    <cacheField name="Ship-State" numFmtId="0">
      <sharedItems count="20">
        <s v="Maharashtra"/>
        <s v="Delhi"/>
        <s v="Karnataka"/>
        <s v="West Bengal"/>
        <s v="Tamil Nadu"/>
        <s v="Telangana"/>
        <s v="Gujarat"/>
        <s v="Rajasthan"/>
        <s v="Uttar Pradesh"/>
        <s v="Madhya Pradesh"/>
        <s v="Bihar"/>
        <s v="Punjab"/>
        <s v="Haryana"/>
        <s v="Kerala"/>
        <s v="Jharkhand"/>
        <s v="Chhattisgarh"/>
        <s v="Odisha"/>
        <s v="Uttarakhand"/>
        <s v="Assam"/>
        <s v="Himachal Pradesh"/>
      </sharedItems>
    </cacheField>
    <cacheField name="Ship-postal-code" numFmtId="0">
      <sharedItems containsSemiMixedTypes="0" containsString="0" containsNumber="1" containsInteger="1" minValue="110001" maxValue="300010"/>
    </cacheField>
    <cacheField name="B2B" numFmtId="0">
      <sharedItems/>
    </cacheField>
  </cacheFields>
  <extLst>
    <ext xmlns:x14="http://schemas.microsoft.com/office/spreadsheetml/2009/9/main" uri="{725AE2AE-9491-48be-B2B4-4EB974FC3084}">
      <x14:pivotCacheDefinition pivotCacheId="563844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s v="183-4928173-8304927"/>
    <n v="3918572"/>
    <x v="0"/>
    <n v="50"/>
    <x v="0"/>
    <d v="2022-01-04T00:00:00"/>
    <x v="0"/>
    <x v="0"/>
    <x v="0"/>
    <s v="JNE1001-RED-KR-001-M"/>
    <x v="0"/>
    <s v="M"/>
    <n v="1"/>
    <n v="325"/>
    <s v="Delhi"/>
    <x v="0"/>
    <n v="110001"/>
    <b v="1"/>
  </r>
  <r>
    <n v="2"/>
    <s v="271-8304921-1948273"/>
    <n v="2049381"/>
    <x v="0"/>
    <n v="50"/>
    <x v="0"/>
    <d v="2022-01-05T00:00:00"/>
    <x v="0"/>
    <x v="0"/>
    <x v="1"/>
    <s v="SET415-BLUE-KR-002-L"/>
    <x v="1"/>
    <s v="L"/>
    <n v="1"/>
    <n v="1499"/>
    <s v="Bengaluru"/>
    <x v="1"/>
    <n v="110002"/>
    <b v="0"/>
  </r>
  <r>
    <n v="3"/>
    <s v="356-1928374-5849201"/>
    <n v="5820473"/>
    <x v="1"/>
    <n v="50"/>
    <x v="0"/>
    <d v="2022-01-06T00:00:00"/>
    <x v="0"/>
    <x v="0"/>
    <x v="2"/>
    <s v="JNE1002-GREEN-KR-003-XL"/>
    <x v="2"/>
    <s v="XL"/>
    <n v="1"/>
    <n v="2875"/>
    <s v="Kolkata"/>
    <x v="2"/>
    <n v="110003"/>
    <b v="1"/>
  </r>
  <r>
    <n v="4"/>
    <s v="149-5839204-2938471"/>
    <n v="7031924"/>
    <x v="0"/>
    <n v="70"/>
    <x v="0"/>
    <d v="2022-01-07T00:00:00"/>
    <x v="0"/>
    <x v="0"/>
    <x v="3"/>
    <s v="SET416-YELLOW-KR-004-S"/>
    <x v="3"/>
    <s v="S"/>
    <n v="1"/>
    <n v="410"/>
    <s v="Chennai"/>
    <x v="3"/>
    <n v="110004"/>
    <b v="1"/>
  </r>
  <r>
    <n v="5"/>
    <s v="402-2948573-8392014"/>
    <n v="8194720"/>
    <x v="0"/>
    <n v="50"/>
    <x v="0"/>
    <d v="2022-01-08T00:00:00"/>
    <x v="0"/>
    <x v="0"/>
    <x v="4"/>
    <s v="JNE1003-BLACK-KR-005-M"/>
    <x v="4"/>
    <s v="3XL"/>
    <n v="1"/>
    <n v="199"/>
    <s v="Hyderabad"/>
    <x v="4"/>
    <n v="110005"/>
    <b v="0"/>
  </r>
  <r>
    <n v="6"/>
    <s v="198-7304928-4029387"/>
    <n v="6253849"/>
    <x v="0"/>
    <n v="60"/>
    <x v="0"/>
    <d v="2022-01-09T00:00:00"/>
    <x v="0"/>
    <x v="0"/>
    <x v="0"/>
    <s v="SET417-WHITE-KR-006-L"/>
    <x v="5"/>
    <s v="4XL"/>
    <n v="1"/>
    <n v="1780"/>
    <s v="Pune"/>
    <x v="5"/>
    <n v="110006"/>
    <b v="1"/>
  </r>
  <r>
    <n v="7"/>
    <s v="317-9203847-5839201"/>
    <n v="4905823"/>
    <x v="1"/>
    <n v="50"/>
    <x v="0"/>
    <d v="2022-01-10T00:00:00"/>
    <x v="0"/>
    <x v="0"/>
    <x v="5"/>
    <s v="JNE1004-PINK-KR-007-XL"/>
    <x v="6"/>
    <s v="5XL"/>
    <n v="1"/>
    <n v="2550"/>
    <s v="Ahmedabad"/>
    <x v="6"/>
    <n v="110007"/>
    <b v="0"/>
  </r>
  <r>
    <n v="8"/>
    <s v="264-5830294-9203841"/>
    <n v="7319482"/>
    <x v="0"/>
    <n v="33"/>
    <x v="1"/>
    <d v="2022-01-04T00:00:00"/>
    <x v="0"/>
    <x v="0"/>
    <x v="1"/>
    <s v="SET418-GRAY-KR-008-S"/>
    <x v="7"/>
    <s v="6XL"/>
    <n v="1"/>
    <n v="499"/>
    <s v="Jaipur"/>
    <x v="7"/>
    <n v="110008"/>
    <b v="0"/>
  </r>
  <r>
    <n v="9"/>
    <s v="451-8392017-2948571"/>
    <n v="2859031"/>
    <x v="0"/>
    <n v="26"/>
    <x v="2"/>
    <d v="2022-01-05T00:00:00"/>
    <x v="0"/>
    <x v="1"/>
    <x v="2"/>
    <s v="JNE1005-BROWN-KR-009-M"/>
    <x v="0"/>
    <s v="Free"/>
    <n v="1"/>
    <n v="360"/>
    <s v="Surat"/>
    <x v="8"/>
    <n v="110009"/>
    <b v="1"/>
  </r>
  <r>
    <n v="10"/>
    <s v="309-2948570-7304921"/>
    <n v="3641927"/>
    <x v="0"/>
    <n v="39"/>
    <x v="1"/>
    <d v="2022-01-06T00:00:00"/>
    <x v="0"/>
    <x v="0"/>
    <x v="0"/>
    <s v="SET419-ORANGE-KR-010-L"/>
    <x v="1"/>
    <s v="M"/>
    <n v="2"/>
    <n v="4250"/>
    <s v="Lucknow"/>
    <x v="9"/>
    <n v="110010"/>
    <b v="0"/>
  </r>
  <r>
    <n v="11"/>
    <s v="172-9203845-5830291"/>
    <n v="9182740"/>
    <x v="1"/>
    <n v="31"/>
    <x v="1"/>
    <d v="2022-01-07T00:00:00"/>
    <x v="0"/>
    <x v="0"/>
    <x v="3"/>
    <s v="JNE1006-PURPLE-KR-011-XL"/>
    <x v="2"/>
    <s v="L"/>
    <n v="3"/>
    <n v="310"/>
    <s v="Kanpur"/>
    <x v="10"/>
    <n v="120001"/>
    <b v="1"/>
  </r>
  <r>
    <n v="12"/>
    <s v="388-7304923-1928375"/>
    <n v="5738204"/>
    <x v="0"/>
    <n v="45"/>
    <x v="1"/>
    <d v="2022-01-08T00:00:00"/>
    <x v="0"/>
    <x v="0"/>
    <x v="4"/>
    <s v="SET420-BEIGE-KR-012-S"/>
    <x v="3"/>
    <s v="XL"/>
    <n v="4"/>
    <n v="1520"/>
    <s v="Nagpur"/>
    <x v="11"/>
    <n v="120002"/>
    <b v="0"/>
  </r>
  <r>
    <n v="13"/>
    <s v="225-4029381-8392016"/>
    <n v="4803921"/>
    <x v="0"/>
    <n v="27"/>
    <x v="2"/>
    <d v="2022-02-03T00:00:00"/>
    <x v="1"/>
    <x v="2"/>
    <x v="0"/>
    <s v="JNE1007-NAVY-KR-013-M"/>
    <x v="4"/>
    <s v="S"/>
    <n v="5"/>
    <n v="2780"/>
    <s v="Indore"/>
    <x v="12"/>
    <n v="120003"/>
    <b v="1"/>
  </r>
  <r>
    <n v="14"/>
    <s v="491-5839207-2948579"/>
    <n v="6192837"/>
    <x v="0"/>
    <n v="30"/>
    <x v="1"/>
    <d v="2022-02-04T00:00:00"/>
    <x v="1"/>
    <x v="0"/>
    <x v="5"/>
    <s v="SET421-RED-KR-014-L"/>
    <x v="5"/>
    <s v="3XL"/>
    <n v="1"/>
    <n v="495"/>
    <s v="Thane"/>
    <x v="13"/>
    <n v="120004"/>
    <b v="0"/>
  </r>
  <r>
    <n v="15"/>
    <s v="367-1928371-7304929"/>
    <n v="7345918"/>
    <x v="1"/>
    <n v="36"/>
    <x v="1"/>
    <d v="2022-02-05T00:00:00"/>
    <x v="1"/>
    <x v="0"/>
    <x v="1"/>
    <s v="JNE1008-BLUE-KR-015-XL"/>
    <x v="6"/>
    <s v="4XL"/>
    <n v="2"/>
    <n v="1999"/>
    <s v="Bhopal"/>
    <x v="14"/>
    <n v="120005"/>
    <b v="1"/>
  </r>
  <r>
    <n v="16"/>
    <s v="154-8392012-4029386"/>
    <n v="2954703"/>
    <x v="0"/>
    <n v="32"/>
    <x v="1"/>
    <d v="2022-02-06T00:00:00"/>
    <x v="1"/>
    <x v="0"/>
    <x v="2"/>
    <s v="SET422-GREEN-KR-016-S"/>
    <x v="7"/>
    <s v="5XL"/>
    <n v="3"/>
    <n v="1820"/>
    <s v="Visakhapatnam"/>
    <x v="15"/>
    <n v="120006"/>
    <b v="0"/>
  </r>
  <r>
    <n v="17"/>
    <s v="298-2948576-5830297"/>
    <n v="8304927"/>
    <x v="0"/>
    <n v="24"/>
    <x v="2"/>
    <d v="2022-02-07T00:00:00"/>
    <x v="1"/>
    <x v="0"/>
    <x v="0"/>
    <s v="JNE1009-YELLOW-KR-017-M"/>
    <x v="0"/>
    <s v="6XL"/>
    <n v="4"/>
    <n v="2675"/>
    <s v="Pimpri-Chinchwad"/>
    <x v="16"/>
    <n v="120007"/>
    <b v="1"/>
  </r>
  <r>
    <n v="18"/>
    <s v="412-7304926-9203842"/>
    <n v="4619283"/>
    <x v="0"/>
    <n v="38"/>
    <x v="1"/>
    <d v="2022-02-08T00:00:00"/>
    <x v="1"/>
    <x v="1"/>
    <x v="3"/>
    <s v="SET423-BLACK-KR-018-L"/>
    <x v="1"/>
    <s v="Free"/>
    <n v="5"/>
    <n v="520"/>
    <s v="Patna"/>
    <x v="17"/>
    <n v="120008"/>
    <b v="0"/>
  </r>
  <r>
    <n v="19"/>
    <s v="271-4029389-1928378"/>
    <n v="5923740"/>
    <x v="0"/>
    <n v="40"/>
    <x v="1"/>
    <d v="2022-02-09T00:00:00"/>
    <x v="1"/>
    <x v="0"/>
    <x v="4"/>
    <s v="JNE1010-WHITE-KR-019-XL"/>
    <x v="2"/>
    <s v="M"/>
    <n v="1"/>
    <n v="3750"/>
    <s v="Vadodara"/>
    <x v="18"/>
    <n v="120009"/>
    <b v="1"/>
  </r>
  <r>
    <n v="20"/>
    <s v="359-5830292-8392019"/>
    <n v="7841203"/>
    <x v="1"/>
    <n v="35"/>
    <x v="1"/>
    <d v="2022-02-10T00:00:00"/>
    <x v="1"/>
    <x v="0"/>
    <x v="5"/>
    <s v="SET424-PINK-KR-020-S"/>
    <x v="3"/>
    <s v="L"/>
    <n v="2"/>
    <n v="1450"/>
    <s v="Ghaziabad"/>
    <x v="19"/>
    <n v="120010"/>
    <b v="0"/>
  </r>
  <r>
    <n v="21"/>
    <s v="487-9203849-2948572"/>
    <n v="3029485"/>
    <x v="0"/>
    <n v="23"/>
    <x v="2"/>
    <d v="2022-02-11T00:00:00"/>
    <x v="1"/>
    <x v="0"/>
    <x v="0"/>
    <s v="JNE1011-GRAY-KR-021-M"/>
    <x v="4"/>
    <s v="XL"/>
    <n v="3"/>
    <n v="3100"/>
    <s v="Ludhiana"/>
    <x v="0"/>
    <n v="130001"/>
    <b v="1"/>
  </r>
  <r>
    <n v="22"/>
    <s v="146-1928370-4029384"/>
    <n v="6792038"/>
    <x v="0"/>
    <n v="29"/>
    <x v="2"/>
    <d v="2022-02-12T00:00:00"/>
    <x v="1"/>
    <x v="0"/>
    <x v="1"/>
    <s v="SET425-BROWN-KR-022-L"/>
    <x v="5"/>
    <s v="S"/>
    <n v="4"/>
    <n v="1299"/>
    <s v="Agra"/>
    <x v="1"/>
    <n v="130002"/>
    <b v="0"/>
  </r>
  <r>
    <n v="23"/>
    <s v="324-8392015-7304924"/>
    <n v="4839207"/>
    <x v="0"/>
    <n v="28"/>
    <x v="2"/>
    <d v="2022-02-13T00:00:00"/>
    <x v="1"/>
    <x v="2"/>
    <x v="2"/>
    <s v="JNE1012-ORANGE-KR-023-XL"/>
    <x v="6"/>
    <s v="3XL"/>
    <n v="5"/>
    <n v="2750"/>
    <s v="Nashik"/>
    <x v="2"/>
    <n v="130003"/>
    <b v="1"/>
  </r>
  <r>
    <n v="24"/>
    <s v="278-2948578-5839206"/>
    <n v="5029384"/>
    <x v="1"/>
    <n v="42"/>
    <x v="1"/>
    <d v="2022-03-02T00:00:00"/>
    <x v="2"/>
    <x v="0"/>
    <x v="3"/>
    <s v="SET426-PURPLE-KR-024-S"/>
    <x v="7"/>
    <s v="4XL"/>
    <n v="1"/>
    <n v="420"/>
    <s v="Faridabad"/>
    <x v="3"/>
    <n v="130004"/>
    <b v="0"/>
  </r>
  <r>
    <n v="25"/>
    <s v="391-7304927-1928376"/>
    <n v="9183746"/>
    <x v="0"/>
    <n v="33"/>
    <x v="1"/>
    <d v="2022-03-03T00:00:00"/>
    <x v="2"/>
    <x v="0"/>
    <x v="4"/>
    <s v="JNE1013-BEIGE-KR-025-M"/>
    <x v="0"/>
    <s v="5XL"/>
    <n v="2"/>
    <n v="1850"/>
    <s v="Meerut"/>
    <x v="4"/>
    <n v="130005"/>
    <b v="1"/>
  </r>
  <r>
    <n v="26"/>
    <s v="465-4029382-8392018"/>
    <n v="2309487"/>
    <x v="0"/>
    <n v="37"/>
    <x v="1"/>
    <d v="2022-03-04T00:00:00"/>
    <x v="2"/>
    <x v="0"/>
    <x v="0"/>
    <s v="SET427-NAVY-KR-026-L"/>
    <x v="1"/>
    <s v="6XL"/>
    <n v="3"/>
    <n v="3325"/>
    <s v="Rajkot"/>
    <x v="5"/>
    <n v="130006"/>
    <b v="0"/>
  </r>
  <r>
    <n v="27"/>
    <s v="182-5830298-2948573"/>
    <n v="8473629"/>
    <x v="0"/>
    <n v="31"/>
    <x v="1"/>
    <d v="2022-03-05T00:00:00"/>
    <x v="2"/>
    <x v="0"/>
    <x v="5"/>
    <s v="JNE1014-RED-KR-027-XL"/>
    <x v="2"/>
    <s v="Free"/>
    <n v="4"/>
    <n v="499"/>
    <s v="Kalyan-Dombivli"/>
    <x v="6"/>
    <n v="130007"/>
    <b v="1"/>
  </r>
  <r>
    <n v="28"/>
    <s v="337-9203843-7304922"/>
    <n v="2748391"/>
    <x v="0"/>
    <n v="44"/>
    <x v="1"/>
    <d v="2022-03-06T00:00:00"/>
    <x v="2"/>
    <x v="1"/>
    <x v="1"/>
    <s v="SET428-BLUE-KR-028-S"/>
    <x v="3"/>
    <s v="M"/>
    <n v="5"/>
    <n v="2500"/>
    <s v="Vasai-Virar"/>
    <x v="7"/>
    <n v="130008"/>
    <b v="0"/>
  </r>
  <r>
    <n v="29"/>
    <s v="254-1928379-4029380"/>
    <n v="3029481"/>
    <x v="1"/>
    <n v="26"/>
    <x v="2"/>
    <d v="2022-03-07T00:00:00"/>
    <x v="2"/>
    <x v="0"/>
    <x v="2"/>
    <s v="JNE1015-GREEN-KR-029-M"/>
    <x v="4"/>
    <s v="L"/>
    <n v="1"/>
    <n v="390"/>
    <s v="Varanasi"/>
    <x v="8"/>
    <n v="130009"/>
    <b v="1"/>
  </r>
  <r>
    <n v="30"/>
    <s v="419-8392013-5839209"/>
    <n v="1093847"/>
    <x v="0"/>
    <n v="39"/>
    <x v="1"/>
    <d v="2022-03-08T00:00:00"/>
    <x v="2"/>
    <x v="0"/>
    <x v="0"/>
    <s v="SET429-YELLOW-KR-030-L"/>
    <x v="5"/>
    <s v="XL"/>
    <n v="2"/>
    <n v="4100"/>
    <s v="Srinagar"/>
    <x v="9"/>
    <n v="130010"/>
    <b v="0"/>
  </r>
  <r>
    <n v="31"/>
    <s v="301-2948571-9203846"/>
    <n v="6639204"/>
    <x v="0"/>
    <n v="30"/>
    <x v="1"/>
    <d v="2022-03-09T00:00:00"/>
    <x v="2"/>
    <x v="0"/>
    <x v="3"/>
    <s v="JNE1016-BLACK-KR-031-XL"/>
    <x v="6"/>
    <s v="S"/>
    <n v="3"/>
    <n v="1650"/>
    <s v="Aurangabad"/>
    <x v="10"/>
    <n v="140001"/>
    <b v="1"/>
  </r>
  <r>
    <n v="32"/>
    <s v="476-7304925-1928372"/>
    <n v="5920384"/>
    <x v="0"/>
    <n v="36"/>
    <x v="1"/>
    <d v="2022-03-10T00:00:00"/>
    <x v="2"/>
    <x v="0"/>
    <x v="4"/>
    <s v="SET430-WHITE-KR-032-S"/>
    <x v="7"/>
    <s v="3XL"/>
    <n v="4"/>
    <n v="2890"/>
    <s v="Dhanbad"/>
    <x v="11"/>
    <n v="140002"/>
    <b v="0"/>
  </r>
  <r>
    <n v="33"/>
    <s v="169-4029385-8392011"/>
    <n v="9283740"/>
    <x v="0"/>
    <n v="27"/>
    <x v="2"/>
    <d v="2022-03-11T00:00:00"/>
    <x v="2"/>
    <x v="2"/>
    <x v="5"/>
    <s v="JNE1017-PINK-KR-033-M"/>
    <x v="0"/>
    <s v="4XL"/>
    <n v="5"/>
    <n v="520"/>
    <s v="Amritsar"/>
    <x v="12"/>
    <n v="140003"/>
    <b v="1"/>
  </r>
  <r>
    <n v="34"/>
    <s v="358-5839202-2948577"/>
    <n v="5938472"/>
    <x v="1"/>
    <n v="41"/>
    <x v="1"/>
    <d v="2022-03-12T00:00:00"/>
    <x v="2"/>
    <x v="0"/>
    <x v="0"/>
    <s v="SET431-GRAY-KR-034-L"/>
    <x v="1"/>
    <s v="5XL"/>
    <n v="1"/>
    <n v="3750"/>
    <s v="Navi Mumbai"/>
    <x v="13"/>
    <n v="140004"/>
    <b v="0"/>
  </r>
  <r>
    <n v="35"/>
    <s v="421-1928373-7304928"/>
    <n v="7384921"/>
    <x v="0"/>
    <n v="34"/>
    <x v="1"/>
    <d v="2022-03-13T00:00:00"/>
    <x v="2"/>
    <x v="0"/>
    <x v="1"/>
    <s v="JNE1018-BROWN-KR-035-XL"/>
    <x v="2"/>
    <s v="6XL"/>
    <n v="2"/>
    <n v="1980"/>
    <s v="Allahabad"/>
    <x v="14"/>
    <n v="140005"/>
    <b v="1"/>
  </r>
  <r>
    <n v="36"/>
    <s v="287-9203848-4029383"/>
    <n v="3029384"/>
    <x v="0"/>
    <n v="32"/>
    <x v="1"/>
    <d v="2022-03-14T00:00:00"/>
    <x v="2"/>
    <x v="0"/>
    <x v="2"/>
    <s v="SET432-ORANGE-KR-036-S"/>
    <x v="3"/>
    <s v="Free"/>
    <n v="3"/>
    <n v="2600"/>
    <s v="Ranchi"/>
    <x v="15"/>
    <n v="140006"/>
    <b v="0"/>
  </r>
  <r>
    <n v="37"/>
    <s v="344-8392010-5830296"/>
    <n v="5039281"/>
    <x v="0"/>
    <n v="25"/>
    <x v="2"/>
    <d v="2022-03-15T00:00:00"/>
    <x v="2"/>
    <x v="0"/>
    <x v="3"/>
    <s v="JNE1019-PURPLE-KR-037-M"/>
    <x v="4"/>
    <s v="M"/>
    <n v="4"/>
    <n v="475"/>
    <s v="Howrah"/>
    <x v="16"/>
    <n v="140007"/>
    <b v="1"/>
  </r>
  <r>
    <n v="38"/>
    <s v="195-2948574-1928377"/>
    <n v="9203842"/>
    <x v="0"/>
    <n v="38"/>
    <x v="1"/>
    <d v="2022-04-01T00:00:00"/>
    <x v="3"/>
    <x v="1"/>
    <x v="4"/>
    <s v="SET433-BEIGE-KR-038-L"/>
    <x v="5"/>
    <s v="L"/>
    <n v="5"/>
    <n v="3200"/>
    <s v="Coimbatore"/>
    <x v="17"/>
    <n v="140008"/>
    <b v="0"/>
  </r>
  <r>
    <n v="39"/>
    <s v="468-7304920-9203844"/>
    <n v="3849201"/>
    <x v="1"/>
    <n v="29"/>
    <x v="2"/>
    <d v="2022-04-02T00:00:00"/>
    <x v="3"/>
    <x v="0"/>
    <x v="0"/>
    <s v="JNE1020-NAVY-KR-039-XL"/>
    <x v="6"/>
    <s v="XL"/>
    <n v="1"/>
    <n v="1350"/>
    <s v="Jabalpur"/>
    <x v="18"/>
    <n v="140009"/>
    <b v="1"/>
  </r>
  <r>
    <n v="40"/>
    <s v="213-4029388-5839208"/>
    <n v="7293840"/>
    <x v="0"/>
    <n v="43"/>
    <x v="1"/>
    <d v="2022-04-03T00:00:00"/>
    <x v="3"/>
    <x v="3"/>
    <x v="5"/>
    <s v="SET434-RED-KR-040-S"/>
    <x v="7"/>
    <s v="S"/>
    <n v="2"/>
    <n v="410"/>
    <s v="Gwalior"/>
    <x v="19"/>
    <n v="140010"/>
    <b v="0"/>
  </r>
  <r>
    <n v="41"/>
    <s v="389-1928374-2948579"/>
    <n v="4092837"/>
    <x v="0"/>
    <n v="31"/>
    <x v="1"/>
    <d v="2022-04-04T00:00:00"/>
    <x v="3"/>
    <x v="3"/>
    <x v="1"/>
    <s v="JNE1021-BLUE-KR-041-M"/>
    <x v="0"/>
    <s v="3XL"/>
    <n v="3"/>
    <n v="2800"/>
    <s v="Vijayawada"/>
    <x v="0"/>
    <n v="150001"/>
    <b v="1"/>
  </r>
  <r>
    <n v="42"/>
    <s v="456-8392014-7304923"/>
    <n v="8472036"/>
    <x v="0"/>
    <n v="77"/>
    <x v="0"/>
    <d v="2022-04-05T00:00:00"/>
    <x v="3"/>
    <x v="3"/>
    <x v="2"/>
    <s v="SET435-GREEN-KR-042-L"/>
    <x v="1"/>
    <s v="4XL"/>
    <n v="4"/>
    <n v="1525"/>
    <s v="Jodhpur"/>
    <x v="1"/>
    <n v="150002"/>
    <b v="0"/>
  </r>
  <r>
    <n v="43"/>
    <s v="172-5830291-4029386"/>
    <n v="1938472"/>
    <x v="0"/>
    <n v="28"/>
    <x v="2"/>
    <d v="2022-04-06T00:00:00"/>
    <x v="3"/>
    <x v="3"/>
    <x v="0"/>
    <s v="JNE1022-YELLOW-KR-043-XL"/>
    <x v="2"/>
    <s v="5XL"/>
    <n v="5"/>
    <n v="3600"/>
    <s v="Madurai"/>
    <x v="2"/>
    <n v="150003"/>
    <b v="1"/>
  </r>
  <r>
    <n v="44"/>
    <s v="335-9203841-1928375"/>
    <n v="2847391"/>
    <x v="1"/>
    <n v="40"/>
    <x v="1"/>
    <d v="2022-04-07T00:00:00"/>
    <x v="3"/>
    <x v="3"/>
    <x v="3"/>
    <s v="SET436-BLACK-KR-044-S"/>
    <x v="3"/>
    <s v="6XL"/>
    <n v="1"/>
    <n v="470"/>
    <s v="Raipur"/>
    <x v="3"/>
    <n v="150004"/>
    <b v="0"/>
  </r>
  <r>
    <n v="45"/>
    <s v="298-7304929-2948576"/>
    <n v="9482031"/>
    <x v="0"/>
    <n v="26"/>
    <x v="2"/>
    <d v="2022-04-08T00:00:00"/>
    <x v="3"/>
    <x v="3"/>
    <x v="4"/>
    <s v="JNE1023-WHITE-KR-045-M"/>
    <x v="4"/>
    <s v="Free"/>
    <n v="2"/>
    <n v="1995"/>
    <s v="Kota"/>
    <x v="4"/>
    <n v="150005"/>
    <b v="1"/>
  </r>
  <r>
    <n v="46"/>
    <s v="467-4029381-8392017"/>
    <n v="6193842"/>
    <x v="0"/>
    <n v="35"/>
    <x v="1"/>
    <d v="2022-04-09T00:00:00"/>
    <x v="3"/>
    <x v="3"/>
    <x v="5"/>
    <s v="SET437-PINK-KR-046-L"/>
    <x v="5"/>
    <s v="M"/>
    <n v="3"/>
    <n v="3450"/>
    <s v="Guwahati"/>
    <x v="5"/>
    <n v="150006"/>
    <b v="0"/>
  </r>
  <r>
    <n v="47"/>
    <s v="184-5839203-1928378"/>
    <n v="7382049"/>
    <x v="0"/>
    <n v="33"/>
    <x v="1"/>
    <d v="2022-04-30T00:00:00"/>
    <x v="3"/>
    <x v="3"/>
    <x v="0"/>
    <s v="JNE1024-GRAY-KR-047-XL"/>
    <x v="6"/>
    <s v="L"/>
    <n v="4"/>
    <n v="520"/>
    <s v="Chandigarh"/>
    <x v="6"/>
    <n v="150007"/>
    <b v="1"/>
  </r>
  <r>
    <n v="48"/>
    <s v="351-2948570-7304924"/>
    <n v="1938475"/>
    <x v="0"/>
    <n v="39"/>
    <x v="1"/>
    <d v="2022-05-01T00:00:00"/>
    <x v="4"/>
    <x v="1"/>
    <x v="1"/>
    <s v="SET438-BROWN-KR-048-S"/>
    <x v="7"/>
    <s v="XL"/>
    <n v="5"/>
    <n v="1800"/>
    <s v="Solapur"/>
    <x v="7"/>
    <n v="150008"/>
    <b v="0"/>
  </r>
  <r>
    <n v="49"/>
    <s v="409-9203847-4029389"/>
    <n v="1849302"/>
    <x v="1"/>
    <n v="27"/>
    <x v="2"/>
    <d v="2022-05-02T00:00:00"/>
    <x v="4"/>
    <x v="0"/>
    <x v="2"/>
    <s v="JNE1025-ORANGE-KR-049-M"/>
    <x v="0"/>
    <s v="S"/>
    <n v="1"/>
    <n v="2650"/>
    <s v="Hubli-Dharwad"/>
    <x v="8"/>
    <n v="150009"/>
    <b v="1"/>
  </r>
  <r>
    <n v="50"/>
    <s v="276-1928372-5830299"/>
    <n v="5829304"/>
    <x v="0"/>
    <n v="42"/>
    <x v="1"/>
    <d v="2022-05-03T00:00:00"/>
    <x v="4"/>
    <x v="0"/>
    <x v="3"/>
    <s v="SET439-PURPLE-KR-050-L"/>
    <x v="1"/>
    <s v="3XL"/>
    <n v="2"/>
    <n v="499"/>
    <s v="Tiruchirappalli"/>
    <x v="9"/>
    <n v="150010"/>
    <b v="0"/>
  </r>
  <r>
    <n v="51"/>
    <s v="438-8392019-2948575"/>
    <n v="5039287"/>
    <x v="0"/>
    <n v="30"/>
    <x v="1"/>
    <d v="2022-05-04T00:00:00"/>
    <x v="4"/>
    <x v="0"/>
    <x v="4"/>
    <s v="JNE1026-BEIGE-KR-051-XL"/>
    <x v="2"/>
    <s v="4XL"/>
    <n v="3"/>
    <n v="1500"/>
    <s v="Bareilly"/>
    <x v="10"/>
    <n v="160001"/>
    <b v="1"/>
  </r>
  <r>
    <n v="52"/>
    <s v="191-7304926-9203842"/>
    <n v="7392845"/>
    <x v="0"/>
    <n v="36"/>
    <x v="1"/>
    <d v="2022-05-05T00:00:00"/>
    <x v="4"/>
    <x v="0"/>
    <x v="0"/>
    <s v="SET440-NAVY-KR-052-S"/>
    <x v="3"/>
    <s v="5XL"/>
    <n v="4"/>
    <n v="3250"/>
    <s v="Mysore"/>
    <x v="11"/>
    <n v="160002"/>
    <b v="0"/>
  </r>
  <r>
    <n v="53"/>
    <s v="364-4029387-1928371"/>
    <n v="6029384"/>
    <x v="0"/>
    <n v="34"/>
    <x v="1"/>
    <d v="2022-05-06T00:00:00"/>
    <x v="4"/>
    <x v="2"/>
    <x v="5"/>
    <s v="JNE1027-RED-KR-053-M"/>
    <x v="4"/>
    <s v="6XL"/>
    <n v="5"/>
    <n v="395"/>
    <s v="Tiruppur"/>
    <x v="12"/>
    <n v="160003"/>
    <b v="1"/>
  </r>
  <r>
    <n v="54"/>
    <s v="452-5839206-8392012"/>
    <n v="1938472"/>
    <x v="1"/>
    <n v="41"/>
    <x v="1"/>
    <d v="2022-05-07T00:00:00"/>
    <x v="4"/>
    <x v="0"/>
    <x v="1"/>
    <s v="SET441-BLUE-KR-054-L"/>
    <x v="5"/>
    <s v="Free"/>
    <n v="1"/>
    <n v="2100"/>
    <s v="Gurgaon"/>
    <x v="13"/>
    <n v="160004"/>
    <b v="0"/>
  </r>
  <r>
    <n v="55"/>
    <s v="217-2948573-7304921"/>
    <n v="8302947"/>
    <x v="0"/>
    <n v="25"/>
    <x v="2"/>
    <d v="2022-05-08T00:00:00"/>
    <x v="4"/>
    <x v="0"/>
    <x v="2"/>
    <s v="JNE1028-GREEN-KR-055-XL"/>
    <x v="6"/>
    <s v="M"/>
    <n v="2"/>
    <n v="2750"/>
    <s v="Aligarh"/>
    <x v="14"/>
    <n v="160005"/>
    <b v="1"/>
  </r>
  <r>
    <n v="56"/>
    <s v="389-9203849-4029380"/>
    <n v="1948203"/>
    <x v="0"/>
    <n v="38"/>
    <x v="1"/>
    <d v="2022-05-09T00:00:00"/>
    <x v="4"/>
    <x v="0"/>
    <x v="0"/>
    <s v="SET442-YELLOW-KR-056-S"/>
    <x v="7"/>
    <s v="L"/>
    <n v="3"/>
    <n v="520"/>
    <s v="Jalandhar"/>
    <x v="15"/>
    <n v="160006"/>
    <b v="0"/>
  </r>
  <r>
    <n v="57"/>
    <s v="165-1928376-5830294"/>
    <n v="2938475"/>
    <x v="0"/>
    <n v="29"/>
    <x v="2"/>
    <d v="2022-05-10T00:00:00"/>
    <x v="4"/>
    <x v="0"/>
    <x v="3"/>
    <s v="JNE1029-BLACK-KR-057-M"/>
    <x v="0"/>
    <s v="XL"/>
    <n v="4"/>
    <n v="1600"/>
    <s v="Tirunelveli"/>
    <x v="16"/>
    <n v="160007"/>
    <b v="1"/>
  </r>
  <r>
    <n v="58"/>
    <s v="341-8392016-2948578"/>
    <n v="9029384"/>
    <x v="0"/>
    <n v="44"/>
    <x v="1"/>
    <d v="2022-06-29T00:00:00"/>
    <x v="5"/>
    <x v="1"/>
    <x v="4"/>
    <s v="SET443-WHITE-KR-058-L"/>
    <x v="1"/>
    <s v="S"/>
    <n v="5"/>
    <n v="2850"/>
    <s v="Bhavnagar"/>
    <x v="17"/>
    <n v="160008"/>
    <b v="0"/>
  </r>
  <r>
    <n v="59"/>
    <s v="478-7304927-4029385"/>
    <n v="8392047"/>
    <x v="1"/>
    <n v="32"/>
    <x v="1"/>
    <d v="2022-06-30T00:00:00"/>
    <x v="5"/>
    <x v="0"/>
    <x v="5"/>
    <s v="JNE1030-PINK-KR-059-XL"/>
    <x v="2"/>
    <s v="3XL"/>
    <n v="1"/>
    <n v="450"/>
    <s v="Salem"/>
    <x v="18"/>
    <n v="160009"/>
    <b v="1"/>
  </r>
  <r>
    <n v="60"/>
    <s v="206-5839201-1928379"/>
    <n v="4938201"/>
    <x v="0"/>
    <n v="37"/>
    <x v="1"/>
    <d v="2022-06-29T00:00:00"/>
    <x v="5"/>
    <x v="0"/>
    <x v="0"/>
    <s v="SET444-GRAY-KR-060-S"/>
    <x v="3"/>
    <s v="4XL"/>
    <n v="2"/>
    <n v="1900"/>
    <s v="Mira-Bhayandar"/>
    <x v="19"/>
    <n v="160010"/>
    <b v="0"/>
  </r>
  <r>
    <n v="61"/>
    <s v="357-2948572-9203845"/>
    <n v="5829307"/>
    <x v="0"/>
    <n v="28"/>
    <x v="2"/>
    <d v="2022-06-30T00:00:00"/>
    <x v="5"/>
    <x v="0"/>
    <x v="1"/>
    <s v="JNE1031-BROWN-KR-061-M"/>
    <x v="4"/>
    <s v="5XL"/>
    <n v="3"/>
    <n v="3300"/>
    <s v="Thiruvananthapuram"/>
    <x v="0"/>
    <n v="170001"/>
    <b v="1"/>
  </r>
  <r>
    <n v="62"/>
    <s v="419-4029383-8392010"/>
    <n v="3749208"/>
    <x v="0"/>
    <n v="40"/>
    <x v="1"/>
    <d v="2022-07-01T00:00:00"/>
    <x v="6"/>
    <x v="0"/>
    <x v="2"/>
    <s v="SET445-ORANGE-KR-062-L"/>
    <x v="5"/>
    <s v="6XL"/>
    <n v="4"/>
    <n v="520"/>
    <s v="Bhiwandi"/>
    <x v="1"/>
    <n v="170002"/>
    <b v="0"/>
  </r>
  <r>
    <n v="63"/>
    <s v="283-1928374-7304925"/>
    <n v="6903841"/>
    <x v="0"/>
    <n v="26"/>
    <x v="2"/>
    <d v="2022-07-02T00:00:00"/>
    <x v="6"/>
    <x v="2"/>
    <x v="3"/>
    <s v="JNE1032-PURPLE-KR-063-XL"/>
    <x v="6"/>
    <s v="Free"/>
    <n v="5"/>
    <n v="1700"/>
    <s v="Saharanpur"/>
    <x v="2"/>
    <n v="170003"/>
    <b v="1"/>
  </r>
  <r>
    <n v="64"/>
    <s v="466-5830297-2948571"/>
    <n v="2719384"/>
    <x v="1"/>
    <n v="35"/>
    <x v="1"/>
    <d v="2022-07-03T00:00:00"/>
    <x v="6"/>
    <x v="0"/>
    <x v="4"/>
    <s v="SET446-BEIGE-KR-064-S"/>
    <x v="7"/>
    <s v="M"/>
    <n v="1"/>
    <n v="2550"/>
    <s v="Gorakhpur"/>
    <x v="3"/>
    <n v="170004"/>
    <b v="0"/>
  </r>
  <r>
    <n v="65"/>
    <s v="198-9203846-4029388"/>
    <n v="5048392"/>
    <x v="0"/>
    <n v="33"/>
    <x v="1"/>
    <d v="2022-07-04T00:00:00"/>
    <x v="6"/>
    <x v="0"/>
    <x v="0"/>
    <s v="JNE1033-NAVY-KR-065-M"/>
    <x v="0"/>
    <s v="L"/>
    <n v="2"/>
    <n v="399"/>
    <s v="Bhubaneswar"/>
    <x v="4"/>
    <n v="170005"/>
    <b v="1"/>
  </r>
  <r>
    <n v="66"/>
    <s v="352-8392018-1928370"/>
    <n v="7384950"/>
    <x v="0"/>
    <n v="59"/>
    <x v="0"/>
    <d v="2022-07-05T00:00:00"/>
    <x v="6"/>
    <x v="0"/>
    <x v="5"/>
    <s v="SET447-RED-KR-066-L"/>
    <x v="1"/>
    <s v="XL"/>
    <n v="3"/>
    <n v="1400"/>
    <s v="Amravati"/>
    <x v="5"/>
    <n v="170006"/>
    <b v="0"/>
  </r>
  <r>
    <n v="67"/>
    <s v="427-2948579-5839204"/>
    <n v="1829473"/>
    <x v="0"/>
    <n v="55"/>
    <x v="0"/>
    <d v="2022-07-06T00:00:00"/>
    <x v="6"/>
    <x v="0"/>
    <x v="1"/>
    <s v="JNE1034-BLUE-KR-067-XL"/>
    <x v="2"/>
    <s v="S"/>
    <n v="4"/>
    <n v="3000"/>
    <s v="Mangalore"/>
    <x v="6"/>
    <n v="170007"/>
    <b v="1"/>
  </r>
  <r>
    <n v="68"/>
    <s v="169-7304922-9203841"/>
    <n v="6203849"/>
    <x v="0"/>
    <n v="42"/>
    <x v="1"/>
    <d v="2022-07-07T00:00:00"/>
    <x v="6"/>
    <x v="1"/>
    <x v="2"/>
    <s v="SET448-GREEN-KR-068-S"/>
    <x v="3"/>
    <s v="3XL"/>
    <n v="5"/>
    <n v="495"/>
    <s v="Muzaffarnagar"/>
    <x v="7"/>
    <n v="170008"/>
    <b v="0"/>
  </r>
  <r>
    <n v="69"/>
    <s v="381-4029386-1928377"/>
    <n v="3948207"/>
    <x v="1"/>
    <n v="30"/>
    <x v="1"/>
    <d v="2022-07-08T00:00:00"/>
    <x v="6"/>
    <x v="0"/>
    <x v="0"/>
    <s v="JNE1035-YELLOW-KR-069-M"/>
    <x v="4"/>
    <s v="4XL"/>
    <n v="1"/>
    <n v="1800"/>
    <s v="Kochi"/>
    <x v="8"/>
    <n v="170009"/>
    <b v="1"/>
  </r>
  <r>
    <n v="70"/>
    <s v="244-5830293-8392015"/>
    <n v="5812039"/>
    <x v="0"/>
    <n v="36"/>
    <x v="1"/>
    <d v="2022-07-09T00:00:00"/>
    <x v="6"/>
    <x v="0"/>
    <x v="3"/>
    <s v="SET449-BLACK-KR-070-L"/>
    <x v="5"/>
    <s v="5XL"/>
    <n v="2"/>
    <n v="2725"/>
    <s v="Bhavnagar"/>
    <x v="9"/>
    <n v="170010"/>
    <b v="0"/>
  </r>
  <r>
    <n v="71"/>
    <s v="498-9203848-2948576"/>
    <n v="4938205"/>
    <x v="0"/>
    <n v="53"/>
    <x v="0"/>
    <d v="2022-07-10T00:00:00"/>
    <x v="6"/>
    <x v="0"/>
    <x v="4"/>
    <s v="JNE1036-WHITE-KR-071-XL"/>
    <x v="6"/>
    <s v="6XL"/>
    <n v="3"/>
    <n v="410"/>
    <s v="Dehradun"/>
    <x v="10"/>
    <n v="180001"/>
    <b v="1"/>
  </r>
  <r>
    <n v="72"/>
    <s v="315-1928371-4029389"/>
    <n v="7293841"/>
    <x v="0"/>
    <n v="41"/>
    <x v="1"/>
    <d v="2022-07-11T00:00:00"/>
    <x v="6"/>
    <x v="0"/>
    <x v="5"/>
    <s v="SET450-PINK-KR-072-S"/>
    <x v="7"/>
    <s v="Free"/>
    <n v="4"/>
    <n v="1550"/>
    <s v="Durgapur"/>
    <x v="11"/>
    <n v="180002"/>
    <b v="0"/>
  </r>
  <r>
    <n v="73"/>
    <s v="461-8392013-7304928"/>
    <n v="3849203"/>
    <x v="0"/>
    <n v="25"/>
    <x v="2"/>
    <d v="2022-07-12T00:00:00"/>
    <x v="6"/>
    <x v="2"/>
    <x v="0"/>
    <s v="JNE1037-GRAY-KR-073-M"/>
    <x v="0"/>
    <s v="M"/>
    <n v="5"/>
    <n v="3150"/>
    <s v="Asansol"/>
    <x v="12"/>
    <n v="180003"/>
    <b v="1"/>
  </r>
  <r>
    <n v="74"/>
    <s v="187-5839209-2948572"/>
    <n v="5029387"/>
    <x v="1"/>
    <n v="38"/>
    <x v="1"/>
    <d v="2022-06-27T00:00:00"/>
    <x v="5"/>
    <x v="2"/>
    <x v="1"/>
    <s v="SET451-BROWN-KR-074-L"/>
    <x v="1"/>
    <s v="L"/>
    <n v="1"/>
    <n v="425"/>
    <s v="Nanded"/>
    <x v="13"/>
    <n v="180004"/>
    <b v="0"/>
  </r>
  <r>
    <n v="75"/>
    <s v="369-4029384-9203843"/>
    <n v="8392041"/>
    <x v="0"/>
    <n v="29"/>
    <x v="2"/>
    <d v="2022-06-28T00:00:00"/>
    <x v="5"/>
    <x v="2"/>
    <x v="2"/>
    <s v="JNE1038-ORANGE-KR-075-XL"/>
    <x v="2"/>
    <s v="XL"/>
    <n v="2"/>
    <n v="2000"/>
    <s v="Kolhapur"/>
    <x v="14"/>
    <n v="180005"/>
    <b v="1"/>
  </r>
  <r>
    <n v="76"/>
    <s v="254-1928378-7304920"/>
    <n v="1749203"/>
    <x v="0"/>
    <n v="43"/>
    <x v="1"/>
    <d v="2022-06-29T00:00:00"/>
    <x v="5"/>
    <x v="0"/>
    <x v="3"/>
    <s v="SET452-PURPLE-KR-076-S"/>
    <x v="3"/>
    <s v="S"/>
    <n v="3"/>
    <n v="2700"/>
    <s v="Ajmer"/>
    <x v="15"/>
    <n v="180006"/>
    <b v="0"/>
  </r>
  <r>
    <n v="77"/>
    <s v="421-5830296-8392011"/>
    <n v="5839204"/>
    <x v="0"/>
    <n v="32"/>
    <x v="1"/>
    <d v="2022-06-30T00:00:00"/>
    <x v="5"/>
    <x v="0"/>
    <x v="4"/>
    <s v="JNE1039-BEIGE-KR-077-M"/>
    <x v="4"/>
    <s v="3XL"/>
    <n v="4"/>
    <n v="520"/>
    <s v="Akola"/>
    <x v="16"/>
    <n v="180007"/>
    <b v="1"/>
  </r>
  <r>
    <n v="78"/>
    <s v="308-2948575-4029382"/>
    <n v="4938572"/>
    <x v="0"/>
    <n v="37"/>
    <x v="1"/>
    <d v="2022-07-01T00:00:00"/>
    <x v="6"/>
    <x v="1"/>
    <x v="0"/>
    <s v="SET453-NAVY-KR-078-L"/>
    <x v="5"/>
    <s v="4XL"/>
    <n v="5"/>
    <n v="1750"/>
    <s v="Gaya"/>
    <x v="17"/>
    <n v="180008"/>
    <b v="0"/>
  </r>
  <r>
    <n v="79"/>
    <s v="472-9203847-1928373"/>
    <n v="3029486"/>
    <x v="1"/>
    <n v="28"/>
    <x v="2"/>
    <d v="2022-07-02T00:00:00"/>
    <x v="6"/>
    <x v="0"/>
    <x v="5"/>
    <s v="JNE1040-RED-KR-079-XL"/>
    <x v="6"/>
    <s v="5XL"/>
    <n v="1"/>
    <n v="2800"/>
    <s v="Jamnagar"/>
    <x v="18"/>
    <n v="180009"/>
    <b v="1"/>
  </r>
  <r>
    <n v="80"/>
    <s v="195-7304924-5839205"/>
    <n v="7193842"/>
    <x v="0"/>
    <n v="40"/>
    <x v="1"/>
    <d v="2022-07-03T00:00:00"/>
    <x v="6"/>
    <x v="0"/>
    <x v="1"/>
    <s v="SET454-BLUE-KR-080-S"/>
    <x v="7"/>
    <s v="6XL"/>
    <n v="2"/>
    <n v="399"/>
    <s v="Ujjain"/>
    <x v="19"/>
    <n v="180010"/>
    <b v="0"/>
  </r>
  <r>
    <n v="81"/>
    <s v="364-8392017-4029380"/>
    <n v="4839205"/>
    <x v="0"/>
    <n v="26"/>
    <x v="2"/>
    <d v="2022-07-04T00:00:00"/>
    <x v="6"/>
    <x v="0"/>
    <x v="2"/>
    <s v="JNE1041-GREEN-KR-081-M"/>
    <x v="0"/>
    <s v="Free"/>
    <n v="3"/>
    <n v="1600"/>
    <s v="Loni"/>
    <x v="0"/>
    <n v="190001"/>
    <b v="1"/>
  </r>
  <r>
    <n v="82"/>
    <s v="218-1928379-2948574"/>
    <n v="5942038"/>
    <x v="0"/>
    <n v="35"/>
    <x v="1"/>
    <d v="2022-08-26T00:00:00"/>
    <x v="7"/>
    <x v="0"/>
    <x v="0"/>
    <s v="SET455-YELLOW-KR-082-L"/>
    <x v="1"/>
    <s v="M"/>
    <n v="4"/>
    <n v="3500"/>
    <s v="Siliguri"/>
    <x v="1"/>
    <n v="190002"/>
    <b v="0"/>
  </r>
  <r>
    <n v="83"/>
    <s v="487-5830298-9203842"/>
    <n v="3849209"/>
    <x v="0"/>
    <n v="33"/>
    <x v="1"/>
    <d v="2022-08-27T00:00:00"/>
    <x v="7"/>
    <x v="2"/>
    <x v="3"/>
    <s v="JNE1042-BLACK-KR-083-XL"/>
    <x v="2"/>
    <s v="L"/>
    <n v="5"/>
    <n v="475"/>
    <s v="Jhansi"/>
    <x v="2"/>
    <n v="190003"/>
    <b v="1"/>
  </r>
  <r>
    <n v="84"/>
    <s v="331-4029381-7304926"/>
    <n v="7293847"/>
    <x v="1"/>
    <n v="39"/>
    <x v="1"/>
    <d v="2022-08-28T00:00:00"/>
    <x v="7"/>
    <x v="0"/>
    <x v="4"/>
    <s v="SET456-WHITE-KR-084-S"/>
    <x v="3"/>
    <s v="XL"/>
    <n v="1"/>
    <n v="1850"/>
    <s v="Ulhasnagar"/>
    <x v="3"/>
    <n v="190004"/>
    <b v="0"/>
  </r>
  <r>
    <n v="85"/>
    <s v="176-2948578-1928375"/>
    <n v="5029380"/>
    <x v="0"/>
    <n v="27"/>
    <x v="2"/>
    <d v="2022-08-29T00:00:00"/>
    <x v="7"/>
    <x v="0"/>
    <x v="5"/>
    <s v="JNE1043-PINK-KR-085-M"/>
    <x v="4"/>
    <s v="S"/>
    <n v="2"/>
    <n v="2999"/>
    <s v="Nellore"/>
    <x v="4"/>
    <n v="190005"/>
    <b v="1"/>
  </r>
  <r>
    <n v="86"/>
    <s v="459-8392019-5839203"/>
    <n v="8392049"/>
    <x v="0"/>
    <n v="42"/>
    <x v="1"/>
    <d v="2022-08-30T00:00:00"/>
    <x v="7"/>
    <x v="0"/>
    <x v="0"/>
    <s v="SET457-GRAY-KR-086-L"/>
    <x v="5"/>
    <s v="3XL"/>
    <n v="3"/>
    <n v="520"/>
    <s v="Jammu"/>
    <x v="5"/>
    <n v="190006"/>
    <b v="0"/>
  </r>
  <r>
    <n v="87"/>
    <s v="292-9203845-4029387"/>
    <n v="1749208"/>
    <x v="0"/>
    <n v="30"/>
    <x v="1"/>
    <d v="2022-08-31T00:00:00"/>
    <x v="7"/>
    <x v="0"/>
    <x v="1"/>
    <s v="JNE1044-BROWN-KR-087-XL"/>
    <x v="6"/>
    <s v="4XL"/>
    <n v="4"/>
    <n v="1500"/>
    <s v="Sangli-Miraj-Kupwad"/>
    <x v="6"/>
    <n v="190007"/>
    <b v="1"/>
  </r>
  <r>
    <n v="88"/>
    <s v="348-1928370-7304929"/>
    <n v="5839201"/>
    <x v="0"/>
    <n v="36"/>
    <x v="1"/>
    <d v="2022-09-01T00:00:00"/>
    <x v="8"/>
    <x v="1"/>
    <x v="2"/>
    <s v="SET458-ORANGE-KR-088-S"/>
    <x v="7"/>
    <s v="5XL"/>
    <n v="5"/>
    <n v="3100"/>
    <s v="Belgaum"/>
    <x v="7"/>
    <n v="190008"/>
    <b v="0"/>
  </r>
  <r>
    <n v="89"/>
    <s v="415-5830292-2948571"/>
    <n v="4938579"/>
    <x v="1"/>
    <n v="34"/>
    <x v="1"/>
    <d v="2022-09-02T00:00:00"/>
    <x v="8"/>
    <x v="0"/>
    <x v="3"/>
    <s v="JNE1045-PURPLE-KR-089-M"/>
    <x v="0"/>
    <s v="6XL"/>
    <n v="1"/>
    <n v="410"/>
    <s v="Tirupati"/>
    <x v="8"/>
    <n v="190009"/>
    <b v="1"/>
  </r>
  <r>
    <n v="90"/>
    <s v="267-4029389-8392014"/>
    <n v="3029489"/>
    <x v="0"/>
    <n v="41"/>
    <x v="1"/>
    <d v="2022-09-03T00:00:00"/>
    <x v="8"/>
    <x v="0"/>
    <x v="4"/>
    <s v="SET459-BEIGE-KR-090-L"/>
    <x v="1"/>
    <s v="Free"/>
    <n v="2"/>
    <n v="1650"/>
    <s v="Shimoga"/>
    <x v="9"/>
    <n v="190010"/>
    <b v="0"/>
  </r>
  <r>
    <n v="91"/>
    <s v="491-7304921-9203846"/>
    <n v="7193845"/>
    <x v="0"/>
    <n v="25"/>
    <x v="2"/>
    <d v="2022-09-04T00:00:00"/>
    <x v="8"/>
    <x v="0"/>
    <x v="0"/>
    <s v="JNE1046-NAVY-KR-091-XL"/>
    <x v="2"/>
    <s v="M"/>
    <n v="3"/>
    <n v="2950"/>
    <s v="Mysuru"/>
    <x v="10"/>
    <n v="200001"/>
    <b v="1"/>
  </r>
  <r>
    <n v="92"/>
    <s v="189-2948576-5839208"/>
    <n v="4839202"/>
    <x v="0"/>
    <n v="38"/>
    <x v="1"/>
    <d v="2022-09-05T00:00:00"/>
    <x v="8"/>
    <x v="0"/>
    <x v="5"/>
    <s v="SET460-RED-KR-092-S"/>
    <x v="3"/>
    <s v="L"/>
    <n v="4"/>
    <n v="425"/>
    <s v="Gulbarga"/>
    <x v="11"/>
    <n v="200002"/>
    <b v="0"/>
  </r>
  <r>
    <n v="93"/>
    <s v="354-1928377-4029385"/>
    <n v="5942031"/>
    <x v="0"/>
    <n v="29"/>
    <x v="2"/>
    <d v="2022-09-06T00:00:00"/>
    <x v="8"/>
    <x v="2"/>
    <x v="1"/>
    <s v="JNE1047-BLUE-KR-093-M"/>
    <x v="4"/>
    <s v="XL"/>
    <n v="5"/>
    <n v="1900"/>
    <s v="Jalgaon"/>
    <x v="12"/>
    <n v="200003"/>
    <b v="1"/>
  </r>
  <r>
    <n v="94"/>
    <s v="438-8392012-7304927"/>
    <n v="3849204"/>
    <x v="1"/>
    <n v="44"/>
    <x v="1"/>
    <d v="2022-09-07T00:00:00"/>
    <x v="8"/>
    <x v="0"/>
    <x v="2"/>
    <s v="SET461-GREEN-KR-094-L"/>
    <x v="5"/>
    <s v="S"/>
    <n v="1"/>
    <n v="3200"/>
    <s v="Udaipur"/>
    <x v="13"/>
    <n v="200004"/>
    <b v="0"/>
  </r>
  <r>
    <n v="95"/>
    <s v="205-5830295-9203841"/>
    <n v="7293845"/>
    <x v="0"/>
    <n v="32"/>
    <x v="1"/>
    <d v="2022-09-08T00:00:00"/>
    <x v="8"/>
    <x v="0"/>
    <x v="0"/>
    <s v="JNE1048-YELLOW-KR-095-XL"/>
    <x v="6"/>
    <s v="3XL"/>
    <n v="2"/>
    <n v="499"/>
    <s v="Maheshtala"/>
    <x v="14"/>
    <n v="200005"/>
    <b v="1"/>
  </r>
  <r>
    <n v="96"/>
    <s v="371-4029383-1928374"/>
    <n v="5029389"/>
    <x v="0"/>
    <n v="37"/>
    <x v="1"/>
    <d v="2022-09-09T00:00:00"/>
    <x v="8"/>
    <x v="0"/>
    <x v="3"/>
    <s v="SET462-BLACK-KR-096-S"/>
    <x v="7"/>
    <s v="4XL"/>
    <n v="3"/>
    <n v="1550"/>
    <s v="Bhilai"/>
    <x v="15"/>
    <n v="200006"/>
    <b v="0"/>
  </r>
  <r>
    <n v="97"/>
    <s v="496-2948579-7304923"/>
    <n v="8392042"/>
    <x v="0"/>
    <n v="28"/>
    <x v="2"/>
    <d v="2022-09-10T00:00:00"/>
    <x v="8"/>
    <x v="0"/>
    <x v="4"/>
    <s v="JNE1049-WHITE-KR-097-M"/>
    <x v="0"/>
    <s v="5XL"/>
    <n v="4"/>
    <n v="2700"/>
    <s v="Rohtak"/>
    <x v="16"/>
    <n v="200007"/>
    <b v="1"/>
  </r>
  <r>
    <n v="98"/>
    <s v="318-9203848-5839202"/>
    <n v="1749207"/>
    <x v="0"/>
    <n v="40"/>
    <x v="1"/>
    <d v="2022-08-26T00:00:00"/>
    <x v="7"/>
    <x v="1"/>
    <x v="5"/>
    <s v="SET463-PINK-KR-098-L"/>
    <x v="1"/>
    <s v="6XL"/>
    <n v="5"/>
    <n v="395"/>
    <s v="Kurnool"/>
    <x v="17"/>
    <n v="200008"/>
    <b v="0"/>
  </r>
  <r>
    <n v="99"/>
    <s v="162-1928371-4029380"/>
    <n v="5839203"/>
    <x v="1"/>
    <n v="26"/>
    <x v="2"/>
    <d v="2022-08-27T00:00:00"/>
    <x v="7"/>
    <x v="0"/>
    <x v="0"/>
    <s v="JNE1050-GRAY-KR-099-XL"/>
    <x v="2"/>
    <s v="Free"/>
    <n v="1"/>
    <n v="1700"/>
    <s v="Raurkela"/>
    <x v="18"/>
    <n v="200009"/>
    <b v="1"/>
  </r>
  <r>
    <n v="100"/>
    <s v="429-8392016-2948575"/>
    <n v="4938571"/>
    <x v="0"/>
    <n v="35"/>
    <x v="1"/>
    <d v="2022-08-28T00:00:00"/>
    <x v="7"/>
    <x v="0"/>
    <x v="1"/>
    <s v="SET464-BROWN-KR-100-S"/>
    <x v="3"/>
    <s v="M"/>
    <n v="2"/>
    <n v="3050"/>
    <s v="Bokaro Steel City"/>
    <x v="19"/>
    <n v="200010"/>
    <b v="0"/>
  </r>
  <r>
    <n v="101"/>
    <s v="281-7304926-5830299"/>
    <n v="3029483"/>
    <x v="0"/>
    <n v="33"/>
    <x v="1"/>
    <d v="2022-08-29T00:00:00"/>
    <x v="7"/>
    <x v="0"/>
    <x v="2"/>
    <s v="JNE1051-ORANGE-KR-101-M"/>
    <x v="4"/>
    <s v="L"/>
    <n v="3"/>
    <n v="520"/>
    <s v="South Dumdum"/>
    <x v="0"/>
    <n v="210001"/>
    <b v="1"/>
  </r>
  <r>
    <n v="102"/>
    <s v="467-4029387-9203844"/>
    <n v="7193841"/>
    <x v="0"/>
    <n v="39"/>
    <x v="1"/>
    <d v="2022-08-30T00:00:00"/>
    <x v="7"/>
    <x v="0"/>
    <x v="3"/>
    <s v="SET465-PURPLE-KR-102-L"/>
    <x v="5"/>
    <s v="XL"/>
    <n v="4"/>
    <n v="1850"/>
    <s v="Bellary"/>
    <x v="1"/>
    <n v="210002"/>
    <b v="0"/>
  </r>
  <r>
    <n v="103"/>
    <s v="193-2948572-1928378"/>
    <n v="4839208"/>
    <x v="0"/>
    <n v="27"/>
    <x v="2"/>
    <d v="2022-08-31T00:00:00"/>
    <x v="7"/>
    <x v="2"/>
    <x v="4"/>
    <s v="JNE1052-BEIGE-KR-103-XL"/>
    <x v="6"/>
    <s v="S"/>
    <n v="5"/>
    <n v="2850"/>
    <s v="Patiala"/>
    <x v="2"/>
    <n v="210003"/>
    <b v="1"/>
  </r>
  <r>
    <n v="104"/>
    <s v="356-8392011-7304924"/>
    <n v="5942035"/>
    <x v="1"/>
    <n v="42"/>
    <x v="1"/>
    <d v="2022-09-01T00:00:00"/>
    <x v="8"/>
    <x v="0"/>
    <x v="0"/>
    <s v="SET466-NAVY-KR-104-S"/>
    <x v="7"/>
    <s v="3XL"/>
    <n v="1"/>
    <n v="410"/>
    <s v="Muzaffarpur"/>
    <x v="3"/>
    <n v="210004"/>
    <b v="0"/>
  </r>
  <r>
    <n v="105"/>
    <s v="418-5839206-4029381"/>
    <n v="3849207"/>
    <x v="0"/>
    <n v="30"/>
    <x v="1"/>
    <d v="2022-09-02T00:00:00"/>
    <x v="8"/>
    <x v="0"/>
    <x v="5"/>
    <s v="JNE1053-RED-KR-105-M"/>
    <x v="0"/>
    <s v="4XL"/>
    <n v="2"/>
    <n v="1600"/>
    <s v="Panihati"/>
    <x v="4"/>
    <n v="210005"/>
    <b v="1"/>
  </r>
  <r>
    <n v="106"/>
    <s v="249-9203849-2948577"/>
    <n v="7293842"/>
    <x v="0"/>
    <n v="36"/>
    <x v="1"/>
    <d v="2022-09-03T00:00:00"/>
    <x v="8"/>
    <x v="0"/>
    <x v="1"/>
    <s v="SET467-BLUE-KR-106-L"/>
    <x v="1"/>
    <s v="5XL"/>
    <n v="3"/>
    <n v="3350"/>
    <s v="Ambattur"/>
    <x v="5"/>
    <n v="210006"/>
    <b v="0"/>
  </r>
  <r>
    <n v="107"/>
    <s v="372-1928373-7304928"/>
    <n v="5029385"/>
    <x v="0"/>
    <n v="34"/>
    <x v="1"/>
    <d v="2022-09-04T00:00:00"/>
    <x v="8"/>
    <x v="0"/>
    <x v="2"/>
    <s v="JNE1054-GREEN-KR-107-XL"/>
    <x v="2"/>
    <s v="6XL"/>
    <n v="4"/>
    <n v="475"/>
    <s v="Dewas"/>
    <x v="6"/>
    <n v="210007"/>
    <b v="1"/>
  </r>
  <r>
    <n v="108"/>
    <s v="485-4029384-5830296"/>
    <n v="8392045"/>
    <x v="0"/>
    <n v="41"/>
    <x v="1"/>
    <d v="2022-09-05T00:00:00"/>
    <x v="8"/>
    <x v="1"/>
    <x v="0"/>
    <s v="SET468-YELLOW-KR-108-S"/>
    <x v="3"/>
    <s v="Free"/>
    <n v="5"/>
    <n v="1950"/>
    <s v="Korba"/>
    <x v="7"/>
    <n v="210008"/>
    <b v="0"/>
  </r>
  <r>
    <n v="109"/>
    <s v="167-2948571-9203842"/>
    <n v="1749205"/>
    <x v="1"/>
    <n v="25"/>
    <x v="2"/>
    <d v="2022-09-06T00:00:00"/>
    <x v="8"/>
    <x v="0"/>
    <x v="3"/>
    <s v="JNE1055-BLACK-KR-109-M"/>
    <x v="4"/>
    <s v="M"/>
    <n v="1"/>
    <n v="2990"/>
    <s v="Kollam"/>
    <x v="8"/>
    <n v="210009"/>
    <b v="1"/>
  </r>
  <r>
    <n v="110"/>
    <s v="339-8392018-1928376"/>
    <n v="6023849"/>
    <x v="0"/>
    <n v="38"/>
    <x v="1"/>
    <d v="2022-09-07T00:00:00"/>
    <x v="8"/>
    <x v="0"/>
    <x v="4"/>
    <s v="SET469-WHITE-KR-110-L"/>
    <x v="5"/>
    <s v="L"/>
    <n v="2"/>
    <n v="520"/>
    <s v="Gopalpur"/>
    <x v="9"/>
    <n v="210010"/>
    <b v="0"/>
  </r>
  <r>
    <n v="111"/>
    <s v="452-7304925-4029389"/>
    <n v="7194823"/>
    <x v="0"/>
    <n v="29"/>
    <x v="2"/>
    <d v="2022-09-08T00:00:00"/>
    <x v="8"/>
    <x v="0"/>
    <x v="5"/>
    <s v="JNE1056-PINK-KR-111-XL"/>
    <x v="6"/>
    <s v="XL"/>
    <n v="3"/>
    <n v="1500"/>
    <s v="Saharsa"/>
    <x v="10"/>
    <n v="220001"/>
    <b v="1"/>
  </r>
  <r>
    <n v="112"/>
    <s v="218-5839207-2948578"/>
    <n v="3849206"/>
    <x v="0"/>
    <n v="43"/>
    <x v="1"/>
    <d v="2022-09-09T00:00:00"/>
    <x v="8"/>
    <x v="0"/>
    <x v="0"/>
    <s v="SET470-GRAY-KR-112-S"/>
    <x v="7"/>
    <s v="S"/>
    <n v="4"/>
    <n v="3100"/>
    <s v="Sikar"/>
    <x v="11"/>
    <n v="220002"/>
    <b v="0"/>
  </r>
  <r>
    <n v="113"/>
    <s v="391-9203843-1928370"/>
    <n v="4938573"/>
    <x v="0"/>
    <n v="32"/>
    <x v="1"/>
    <d v="2022-09-10T00:00:00"/>
    <x v="8"/>
    <x v="2"/>
    <x v="1"/>
    <s v="JNE1057-BROWN-KR-113-M"/>
    <x v="0"/>
    <s v="3XL"/>
    <n v="5"/>
    <n v="399"/>
    <s v="Raiganj"/>
    <x v="12"/>
    <n v="220003"/>
    <b v="1"/>
  </r>
  <r>
    <n v="114"/>
    <s v="274-4029382-7304921"/>
    <n v="5029382"/>
    <x v="1"/>
    <n v="37"/>
    <x v="1"/>
    <d v="2022-09-11T00:00:00"/>
    <x v="8"/>
    <x v="0"/>
    <x v="2"/>
    <s v="SET471-ORANGE-KR-114-L"/>
    <x v="1"/>
    <s v="4XL"/>
    <n v="1"/>
    <n v="1750"/>
    <s v="Darbhanga"/>
    <x v="13"/>
    <n v="220004"/>
    <b v="0"/>
  </r>
  <r>
    <n v="115"/>
    <s v="466-2948574-5830291"/>
    <n v="8392046"/>
    <x v="0"/>
    <n v="28"/>
    <x v="2"/>
    <d v="2022-09-12T00:00:00"/>
    <x v="8"/>
    <x v="0"/>
    <x v="3"/>
    <s v="JNE1058-PURPLE-KR-115-XL"/>
    <x v="2"/>
    <s v="5XL"/>
    <n v="2"/>
    <n v="3000"/>
    <s v="Jamnagar"/>
    <x v="14"/>
    <n v="220005"/>
    <b v="1"/>
  </r>
  <r>
    <n v="116"/>
    <s v="199-8392015-9203846"/>
    <n v="1749209"/>
    <x v="0"/>
    <n v="40"/>
    <x v="1"/>
    <d v="2022-09-13T00:00:00"/>
    <x v="8"/>
    <x v="0"/>
    <x v="4"/>
    <s v="SET472-BEIGE-KR-116-S"/>
    <x v="3"/>
    <s v="6XL"/>
    <n v="3"/>
    <n v="495"/>
    <s v="Tinsukia"/>
    <x v="15"/>
    <n v="220006"/>
    <b v="0"/>
  </r>
  <r>
    <n v="117"/>
    <s v="358-1928379-4029388"/>
    <n v="5839205"/>
    <x v="0"/>
    <n v="26"/>
    <x v="2"/>
    <d v="2022-09-14T00:00:00"/>
    <x v="8"/>
    <x v="0"/>
    <x v="0"/>
    <s v="JNE1059-NAVY-KR-117-M"/>
    <x v="4"/>
    <s v="Free"/>
    <n v="4"/>
    <n v="1650"/>
    <s v="Shimla"/>
    <x v="16"/>
    <n v="220007"/>
    <b v="1"/>
  </r>
  <r>
    <n v="118"/>
    <s v="427-7304929-5839204"/>
    <n v="4938574"/>
    <x v="0"/>
    <n v="35"/>
    <x v="1"/>
    <d v="2022-09-15T00:00:00"/>
    <x v="8"/>
    <x v="1"/>
    <x v="5"/>
    <s v="SET473-RED-KR-118-L"/>
    <x v="5"/>
    <s v="M"/>
    <n v="5"/>
    <n v="3200"/>
    <s v="Sambalpur"/>
    <x v="17"/>
    <n v="220008"/>
    <b v="0"/>
  </r>
  <r>
    <n v="119"/>
    <s v="184-2948576-1928372"/>
    <n v="3029482"/>
    <x v="1"/>
    <n v="33"/>
    <x v="1"/>
    <d v="2022-09-16T00:00:00"/>
    <x v="8"/>
    <x v="0"/>
    <x v="1"/>
    <s v="JNE1060-BLUE-KR-119-XL"/>
    <x v="6"/>
    <s v="L"/>
    <n v="1"/>
    <n v="410"/>
    <s v="Bagalkot"/>
    <x v="18"/>
    <n v="220009"/>
    <b v="1"/>
  </r>
  <r>
    <n v="120"/>
    <s v="495-4029385-8392010"/>
    <n v="7193843"/>
    <x v="0"/>
    <n v="39"/>
    <x v="1"/>
    <d v="2022-09-17T00:00:00"/>
    <x v="8"/>
    <x v="0"/>
    <x v="2"/>
    <s v="SET474-GREEN-KR-120-S"/>
    <x v="7"/>
    <s v="XL"/>
    <n v="2"/>
    <n v="1850"/>
    <s v="Barasat"/>
    <x v="19"/>
    <n v="220010"/>
    <b v="0"/>
  </r>
  <r>
    <n v="121"/>
    <s v="321-5830297-9203848"/>
    <n v="4839206"/>
    <x v="0"/>
    <n v="27"/>
    <x v="2"/>
    <d v="2022-09-18T00:00:00"/>
    <x v="8"/>
    <x v="0"/>
    <x v="0"/>
    <s v="JNE1061-YELLOW-KR-121-M"/>
    <x v="0"/>
    <s v="S"/>
    <n v="3"/>
    <n v="2800"/>
    <s v="Hapur"/>
    <x v="0"/>
    <n v="230001"/>
    <b v="1"/>
  </r>
  <r>
    <n v="122"/>
    <s v="173-1928374-7304926"/>
    <n v="5942032"/>
    <x v="0"/>
    <n v="42"/>
    <x v="1"/>
    <d v="2022-09-19T00:00:00"/>
    <x v="8"/>
    <x v="0"/>
    <x v="3"/>
    <s v="SET475-BLACK-KR-122-L"/>
    <x v="1"/>
    <s v="3XL"/>
    <n v="4"/>
    <n v="425"/>
    <s v="Jalna"/>
    <x v="1"/>
    <n v="230002"/>
    <b v="0"/>
  </r>
  <r>
    <n v="123"/>
    <s v="449-2948573-4029381"/>
    <n v="3849208"/>
    <x v="0"/>
    <n v="30"/>
    <x v="1"/>
    <d v="2022-09-20T00:00:00"/>
    <x v="8"/>
    <x v="2"/>
    <x v="4"/>
    <s v="JNE1062-WHITE-KR-123-XL"/>
    <x v="2"/>
    <s v="4XL"/>
    <n v="5"/>
    <n v="1550"/>
    <s v="Pali"/>
    <x v="2"/>
    <n v="230003"/>
    <b v="1"/>
  </r>
  <r>
    <n v="124"/>
    <s v="286-8392017-5839209"/>
    <n v="7293843"/>
    <x v="1"/>
    <n v="36"/>
    <x v="1"/>
    <d v="2022-09-21T00:00:00"/>
    <x v="8"/>
    <x v="0"/>
    <x v="5"/>
    <s v="SET476-PINK-KR-124-S"/>
    <x v="3"/>
    <s v="5XL"/>
    <n v="1"/>
    <n v="3400"/>
    <s v="Dibrugarh"/>
    <x v="3"/>
    <n v="230004"/>
    <b v="0"/>
  </r>
  <r>
    <n v="125"/>
    <s v="471-9203845-1928371"/>
    <n v="5029386"/>
    <x v="0"/>
    <n v="34"/>
    <x v="1"/>
    <d v="2022-09-22T00:00:00"/>
    <x v="8"/>
    <x v="0"/>
    <x v="0"/>
    <s v="JNE1063-GRAY-KR-125-M"/>
    <x v="4"/>
    <s v="6XL"/>
    <n v="2"/>
    <n v="520"/>
    <s v="Nizamabad"/>
    <x v="4"/>
    <n v="230005"/>
    <b v="1"/>
  </r>
  <r>
    <n v="126"/>
    <s v="215-4029386-7304923"/>
    <n v="8392043"/>
    <x v="0"/>
    <n v="41"/>
    <x v="1"/>
    <d v="2022-09-23T00:00:00"/>
    <x v="8"/>
    <x v="0"/>
    <x v="1"/>
    <s v="SET477-BROWN-KR-126-L"/>
    <x v="5"/>
    <s v="Free"/>
    <n v="3"/>
    <n v="1700"/>
    <s v="Siwan"/>
    <x v="5"/>
    <n v="230006"/>
    <b v="0"/>
  </r>
  <r>
    <n v="127"/>
    <s v="364-2948579-5830292"/>
    <n v="1749210"/>
    <x v="0"/>
    <n v="25"/>
    <x v="2"/>
    <d v="2022-11-22T00:00:00"/>
    <x v="9"/>
    <x v="0"/>
    <x v="2"/>
    <s v="JNE1064-ORANGE-KR-127-XL"/>
    <x v="6"/>
    <s v="M"/>
    <n v="4"/>
    <n v="3100"/>
    <s v="Moradabad"/>
    <x v="6"/>
    <n v="230007"/>
    <b v="1"/>
  </r>
  <r>
    <n v="128"/>
    <s v="498-1928378-8392014"/>
    <n v="5839206"/>
    <x v="0"/>
    <n v="38"/>
    <x v="1"/>
    <d v="2022-11-22T00:00:00"/>
    <x v="9"/>
    <x v="1"/>
    <x v="3"/>
    <s v="SET478-PURPLE-KR-128-S"/>
    <x v="7"/>
    <s v="L"/>
    <n v="5"/>
    <n v="399"/>
    <s v="Dhule"/>
    <x v="7"/>
    <n v="230008"/>
    <b v="0"/>
  </r>
  <r>
    <n v="129"/>
    <s v="337-7304920-4029387"/>
    <n v="4938575"/>
    <x v="1"/>
    <n v="29"/>
    <x v="2"/>
    <d v="2022-11-22T00:00:00"/>
    <x v="9"/>
    <x v="0"/>
    <x v="4"/>
    <s v="JNE1065-BEIGE-KR-129-M"/>
    <x v="0"/>
    <s v="XL"/>
    <n v="1"/>
    <n v="1800"/>
    <s v="Wardha"/>
    <x v="8"/>
    <n v="230009"/>
    <b v="1"/>
  </r>
  <r>
    <n v="130"/>
    <s v="181-5839201-9203842"/>
    <n v="3029484"/>
    <x v="0"/>
    <n v="44"/>
    <x v="1"/>
    <d v="2022-11-22T00:00:00"/>
    <x v="9"/>
    <x v="0"/>
    <x v="0"/>
    <s v="SET479-NAVY-KR-130-L"/>
    <x v="1"/>
    <s v="S"/>
    <n v="2"/>
    <n v="2950"/>
    <s v="Baroda"/>
    <x v="9"/>
    <n v="230010"/>
    <b v="0"/>
  </r>
  <r>
    <n v="131"/>
    <s v="456-2948575-1928376"/>
    <n v="7193844"/>
    <x v="0"/>
    <n v="32"/>
    <x v="1"/>
    <d v="2022-11-22T00:00:00"/>
    <x v="9"/>
    <x v="0"/>
    <x v="5"/>
    <s v="JNE1066-RED-KR-131-XL"/>
    <x v="2"/>
    <s v="3XL"/>
    <n v="3"/>
    <n v="475"/>
    <s v="Begusarai"/>
    <x v="10"/>
    <n v="240001"/>
    <b v="1"/>
  </r>
  <r>
    <n v="132"/>
    <s v="309-8392019-7304924"/>
    <n v="4839209"/>
    <x v="0"/>
    <n v="37"/>
    <x v="1"/>
    <d v="2022-11-21T00:00:00"/>
    <x v="9"/>
    <x v="0"/>
    <x v="1"/>
    <s v="SET480-BLUE-KR-132-S"/>
    <x v="3"/>
    <s v="4XL"/>
    <n v="4"/>
    <n v="1600"/>
    <s v="Raebareli"/>
    <x v="11"/>
    <n v="240002"/>
    <b v="0"/>
  </r>
  <r>
    <n v="133"/>
    <s v="267-4029380-5830298"/>
    <n v="5942033"/>
    <x v="0"/>
    <n v="28"/>
    <x v="2"/>
    <d v="2022-11-21T00:00:00"/>
    <x v="9"/>
    <x v="2"/>
    <x v="2"/>
    <s v="JNE1067-GREEN-KR-133-M"/>
    <x v="4"/>
    <s v="5XL"/>
    <n v="5"/>
    <n v="3250"/>
    <s v="Sagar"/>
    <x v="12"/>
    <n v="240003"/>
    <b v="1"/>
  </r>
  <r>
    <n v="134"/>
    <s v="489-1928373-9203847"/>
    <n v="3849210"/>
    <x v="1"/>
    <n v="40"/>
    <x v="1"/>
    <d v="2022-11-21T00:00:00"/>
    <x v="9"/>
    <x v="0"/>
    <x v="0"/>
    <s v="SET481-YELLOW-KR-134-L"/>
    <x v="5"/>
    <s v="6XL"/>
    <n v="1"/>
    <n v="520"/>
    <s v="Bathinda"/>
    <x v="13"/>
    <n v="240004"/>
    <b v="0"/>
  </r>
  <r>
    <n v="135"/>
    <s v="224-7304928-2948571"/>
    <n v="7293844"/>
    <x v="0"/>
    <n v="26"/>
    <x v="2"/>
    <d v="2022-11-21T00:00:00"/>
    <x v="9"/>
    <x v="0"/>
    <x v="3"/>
    <s v="JNE1068-BLACK-KR-135-XL"/>
    <x v="6"/>
    <s v="Free"/>
    <n v="2"/>
    <n v="1950"/>
    <s v="Bhagalpur"/>
    <x v="14"/>
    <n v="240005"/>
    <b v="1"/>
  </r>
  <r>
    <n v="136"/>
    <s v="371-8392012-4029384"/>
    <n v="5029388"/>
    <x v="0"/>
    <n v="35"/>
    <x v="1"/>
    <d v="2022-11-21T00:00:00"/>
    <x v="9"/>
    <x v="0"/>
    <x v="4"/>
    <s v="SET482-WHITE-KR-136-S"/>
    <x v="7"/>
    <s v="M"/>
    <n v="3"/>
    <n v="2850"/>
    <s v="Tiruvallur"/>
    <x v="15"/>
    <n v="240006"/>
    <b v="0"/>
  </r>
  <r>
    <n v="137"/>
    <s v="195-5839206-1928377"/>
    <n v="8392044"/>
    <x v="0"/>
    <n v="33"/>
    <x v="1"/>
    <d v="2022-11-21T00:00:00"/>
    <x v="9"/>
    <x v="0"/>
    <x v="5"/>
    <s v="JNE1069-PINK-KR-137-M"/>
    <x v="0"/>
    <s v="L"/>
    <n v="4"/>
    <n v="410"/>
    <s v="Satna"/>
    <x v="16"/>
    <n v="240007"/>
    <b v="1"/>
  </r>
  <r>
    <n v="138"/>
    <s v="452-2948578-7304921"/>
    <n v="1749211"/>
    <x v="0"/>
    <n v="39"/>
    <x v="1"/>
    <d v="2022-11-21T00:00:00"/>
    <x v="9"/>
    <x v="1"/>
    <x v="0"/>
    <s v="SET483-GRAY-KR-138-L"/>
    <x v="1"/>
    <s v="XL"/>
    <n v="5"/>
    <n v="1500"/>
    <s v="Begusarai"/>
    <x v="17"/>
    <n v="240008"/>
    <b v="0"/>
  </r>
  <r>
    <n v="139"/>
    <s v="318-9203849-4029385"/>
    <n v="5839207"/>
    <x v="1"/>
    <n v="27"/>
    <x v="2"/>
    <d v="2022-11-21T00:00:00"/>
    <x v="9"/>
    <x v="0"/>
    <x v="1"/>
    <s v="JNE1070-BROWN-KR-139-XL"/>
    <x v="2"/>
    <s v="S"/>
    <n v="1"/>
    <n v="3050"/>
    <s v="Junagadh"/>
    <x v="18"/>
    <n v="240009"/>
    <b v="1"/>
  </r>
  <r>
    <n v="140"/>
    <s v="167-1928370-5830293"/>
    <n v="4938576"/>
    <x v="0"/>
    <n v="42"/>
    <x v="1"/>
    <d v="2022-11-21T00:00:00"/>
    <x v="9"/>
    <x v="0"/>
    <x v="2"/>
    <s v="SET484-ORANGE-KR-140-S"/>
    <x v="3"/>
    <s v="3XL"/>
    <n v="2"/>
    <n v="425"/>
    <s v="Kakinada"/>
    <x v="19"/>
    <n v="240010"/>
    <b v="0"/>
  </r>
  <r>
    <n v="141"/>
    <s v="439-8392016-2948574"/>
    <n v="3029485"/>
    <x v="0"/>
    <n v="30"/>
    <x v="1"/>
    <d v="2022-11-21T00:00:00"/>
    <x v="9"/>
    <x v="0"/>
    <x v="3"/>
    <s v="JNE1071-PURPLE-KR-141-M"/>
    <x v="4"/>
    <s v="4XL"/>
    <n v="3"/>
    <n v="1750"/>
    <s v="Bilaspur"/>
    <x v="0"/>
    <n v="250001"/>
    <b v="1"/>
  </r>
  <r>
    <n v="142"/>
    <s v="284-7304926-9203841"/>
    <n v="7193845"/>
    <x v="0"/>
    <n v="36"/>
    <x v="1"/>
    <d v="2022-11-20T00:00:00"/>
    <x v="9"/>
    <x v="0"/>
    <x v="4"/>
    <s v="SET485-BEIGE-KR-142-L"/>
    <x v="5"/>
    <s v="5XL"/>
    <n v="4"/>
    <n v="3000"/>
    <s v="Shahjahanpur"/>
    <x v="1"/>
    <n v="250002"/>
    <b v="0"/>
  </r>
  <r>
    <n v="143"/>
    <s v="497-4029388-1928379"/>
    <n v="4839210"/>
    <x v="0"/>
    <n v="34"/>
    <x v="1"/>
    <d v="2022-11-20T00:00:00"/>
    <x v="9"/>
    <x v="2"/>
    <x v="0"/>
    <s v="JNE1072-NAVY-KR-143-XL"/>
    <x v="6"/>
    <s v="6XL"/>
    <n v="5"/>
    <n v="499"/>
    <s v="Alwar"/>
    <x v="2"/>
    <n v="250003"/>
    <b v="1"/>
  </r>
  <r>
    <n v="144"/>
    <s v="231-2948572-5839207"/>
    <n v="5942034"/>
    <x v="1"/>
    <n v="41"/>
    <x v="1"/>
    <d v="2022-11-20T00:00:00"/>
    <x v="9"/>
    <x v="0"/>
    <x v="5"/>
    <s v="SET486-RED-KR-144-S"/>
    <x v="7"/>
    <s v="Free"/>
    <n v="1"/>
    <n v="1650"/>
    <s v="Udhampur"/>
    <x v="3"/>
    <n v="250004"/>
    <b v="0"/>
  </r>
  <r>
    <n v="145"/>
    <s v="366-8392011-7304923"/>
    <n v="3849211"/>
    <x v="0"/>
    <n v="25"/>
    <x v="2"/>
    <d v="2022-11-20T00:00:00"/>
    <x v="9"/>
    <x v="0"/>
    <x v="1"/>
    <s v="JNE1073-BLUE-KR-145-M"/>
    <x v="0"/>
    <s v="M"/>
    <n v="2"/>
    <n v="3200"/>
    <s v="Anantapur"/>
    <x v="4"/>
    <n v="250005"/>
    <b v="1"/>
  </r>
  <r>
    <n v="146"/>
    <s v="982-46879649-132839"/>
    <n v="7293845"/>
    <x v="0"/>
    <n v="38"/>
    <x v="1"/>
    <d v="2022-11-20T00:00:00"/>
    <x v="9"/>
    <x v="0"/>
    <x v="2"/>
    <s v="SET487-GREEN-KR-146-L"/>
    <x v="1"/>
    <s v="L"/>
    <n v="3"/>
    <n v="395"/>
    <s v="Munger"/>
    <x v="5"/>
    <n v="250006"/>
    <b v="0"/>
  </r>
  <r>
    <n v="147"/>
    <s v="179-1928375-2948579"/>
    <n v="5029390"/>
    <x v="0"/>
    <n v="29"/>
    <x v="2"/>
    <d v="2022-11-20T00:00:00"/>
    <x v="9"/>
    <x v="0"/>
    <x v="0"/>
    <s v="JNE1074-YELLOW-KR-147-XL"/>
    <x v="2"/>
    <s v="XL"/>
    <n v="4"/>
    <n v="1800"/>
    <s v="Karimnagar"/>
    <x v="6"/>
    <n v="250007"/>
    <b v="1"/>
  </r>
  <r>
    <n v="148"/>
    <s v="451-5830296-8392018"/>
    <n v="8392045"/>
    <x v="0"/>
    <n v="43"/>
    <x v="1"/>
    <d v="2022-11-20T00:00:00"/>
    <x v="9"/>
    <x v="1"/>
    <x v="3"/>
    <s v="SET488-BLACK-KR-148-S"/>
    <x v="3"/>
    <s v="S"/>
    <n v="5"/>
    <n v="3100"/>
    <s v="Firozabad"/>
    <x v="7"/>
    <n v="250008"/>
    <b v="0"/>
  </r>
  <r>
    <n v="149"/>
    <s v="307-7304929-4029381"/>
    <n v="1749212"/>
    <x v="1"/>
    <n v="32"/>
    <x v="1"/>
    <d v="2022-11-20T00:00:00"/>
    <x v="9"/>
    <x v="0"/>
    <x v="4"/>
    <s v="JNE1075-WHITE-KR-149-M"/>
    <x v="4"/>
    <s v="3XL"/>
    <n v="1"/>
    <n v="520"/>
    <s v="Haldwani"/>
    <x v="8"/>
    <n v="250009"/>
    <b v="1"/>
  </r>
  <r>
    <n v="150"/>
    <s v="268-2948576-9203843"/>
    <n v="5839208"/>
    <x v="0"/>
    <n v="37"/>
    <x v="1"/>
    <d v="2022-11-20T00:00:00"/>
    <x v="9"/>
    <x v="0"/>
    <x v="5"/>
    <s v="SET489-PINK-KR-150-L"/>
    <x v="5"/>
    <s v="4XL"/>
    <n v="2"/>
    <n v="1550"/>
    <s v="Nagaon"/>
    <x v="9"/>
    <n v="250010"/>
    <b v="0"/>
  </r>
  <r>
    <n v="151"/>
    <s v="493-1928371-5839205"/>
    <n v="4938577"/>
    <x v="0"/>
    <n v="28"/>
    <x v="2"/>
    <d v="2022-11-20T00:00:00"/>
    <x v="9"/>
    <x v="0"/>
    <x v="0"/>
    <s v="JNE1076-BLUE-KR-151-XL"/>
    <x v="6"/>
    <s v="5XL"/>
    <n v="3"/>
    <n v="2950"/>
    <s v="Rajahmundry"/>
    <x v="10"/>
    <n v="260001"/>
    <b v="1"/>
  </r>
  <r>
    <n v="152"/>
    <s v="224-8392014-7304927"/>
    <n v="3029486"/>
    <x v="0"/>
    <n v="40"/>
    <x v="1"/>
    <d v="2022-11-19T00:00:00"/>
    <x v="9"/>
    <x v="0"/>
    <x v="1"/>
    <s v="SET490-YELLOW-KR-152-S"/>
    <x v="7"/>
    <s v="6XL"/>
    <n v="4"/>
    <n v="410"/>
    <s v="Sahibzada Ajit Singh Nagar"/>
    <x v="11"/>
    <n v="260002"/>
    <b v="0"/>
  </r>
  <r>
    <n v="153"/>
    <s v="372-4029389-2948571"/>
    <n v="7193846"/>
    <x v="0"/>
    <n v="26"/>
    <x v="2"/>
    <d v="2022-11-19T00:00:00"/>
    <x v="9"/>
    <x v="2"/>
    <x v="2"/>
    <s v="JNE1077-BLACK-KR-153-M"/>
    <x v="0"/>
    <s v="Free"/>
    <n v="5"/>
    <n v="1850"/>
    <s v="Chhapra"/>
    <x v="12"/>
    <n v="260003"/>
    <b v="1"/>
  </r>
  <r>
    <n v="154"/>
    <s v="186-9203848-1928376"/>
    <n v="4839211"/>
    <x v="1"/>
    <n v="35"/>
    <x v="1"/>
    <d v="2022-11-19T00:00:00"/>
    <x v="9"/>
    <x v="0"/>
    <x v="3"/>
    <s v="SET491-WHITE-KR-154-L"/>
    <x v="1"/>
    <s v="M"/>
    <n v="1"/>
    <n v="2750"/>
    <s v="Fatehpur"/>
    <x v="13"/>
    <n v="260004"/>
    <b v="0"/>
  </r>
  <r>
    <n v="155"/>
    <s v="459-5830292-7304924"/>
    <n v="5942035"/>
    <x v="0"/>
    <n v="33"/>
    <x v="1"/>
    <d v="2022-11-19T00:00:00"/>
    <x v="9"/>
    <x v="0"/>
    <x v="4"/>
    <s v="JNE1078-PINK-KR-155-XL"/>
    <x v="2"/>
    <s v="L"/>
    <n v="2"/>
    <n v="475"/>
    <s v="Gandhidham"/>
    <x v="14"/>
    <n v="260005"/>
    <b v="1"/>
  </r>
  <r>
    <n v="156"/>
    <s v="459-5830292-7304925"/>
    <n v="3849212"/>
    <x v="0"/>
    <n v="39"/>
    <x v="1"/>
    <d v="2022-11-19T00:00:00"/>
    <x v="9"/>
    <x v="0"/>
    <x v="0"/>
    <s v="SET492-GRAY-KR-156-S"/>
    <x v="3"/>
    <s v="XL"/>
    <n v="3"/>
    <n v="1600"/>
    <s v="Kollam"/>
    <x v="15"/>
    <n v="260006"/>
    <b v="0"/>
  </r>
  <r>
    <n v="157"/>
    <s v="459-5830292-7304926"/>
    <n v="7293846"/>
    <x v="0"/>
    <n v="27"/>
    <x v="2"/>
    <d v="2022-11-19T00:00:00"/>
    <x v="9"/>
    <x v="0"/>
    <x v="5"/>
    <s v="JNE1079-BROWN-KR-157-M"/>
    <x v="4"/>
    <s v="S"/>
    <n v="4"/>
    <n v="3300"/>
    <s v="Bardhaman"/>
    <x v="16"/>
    <n v="260007"/>
    <b v="1"/>
  </r>
  <r>
    <n v="158"/>
    <s v="459-5830292-7304927"/>
    <n v="5029391"/>
    <x v="0"/>
    <n v="42"/>
    <x v="1"/>
    <d v="2022-11-19T00:00:00"/>
    <x v="9"/>
    <x v="1"/>
    <x v="1"/>
    <s v="SET493-ORANGE-KR-158-L"/>
    <x v="5"/>
    <s v="3XL"/>
    <n v="5"/>
    <n v="520"/>
    <s v="Karaikudi"/>
    <x v="17"/>
    <n v="260008"/>
    <b v="0"/>
  </r>
  <r>
    <n v="159"/>
    <s v="459-5830292-7304928"/>
    <n v="8392046"/>
    <x v="1"/>
    <n v="30"/>
    <x v="1"/>
    <d v="2022-11-19T00:00:00"/>
    <x v="9"/>
    <x v="0"/>
    <x v="2"/>
    <s v="JNE1080-PURPLE-KR-159-XL"/>
    <x v="6"/>
    <s v="4XL"/>
    <n v="1"/>
    <n v="1500"/>
    <s v="Motihari"/>
    <x v="18"/>
    <n v="260009"/>
    <b v="1"/>
  </r>
  <r>
    <n v="160"/>
    <s v="459-5830292-7304929"/>
    <n v="1749213"/>
    <x v="0"/>
    <n v="36"/>
    <x v="1"/>
    <d v="2022-11-19T00:00:00"/>
    <x v="9"/>
    <x v="0"/>
    <x v="0"/>
    <s v="SET494-BEIGE-KR-160-S"/>
    <x v="7"/>
    <s v="5XL"/>
    <n v="2"/>
    <n v="3050"/>
    <s v="Tonk"/>
    <x v="19"/>
    <n v="260010"/>
    <b v="0"/>
  </r>
  <r>
    <n v="161"/>
    <s v="459-5830292-7304930"/>
    <n v="5839209"/>
    <x v="0"/>
    <n v="34"/>
    <x v="1"/>
    <d v="2022-11-19T00:00:00"/>
    <x v="9"/>
    <x v="0"/>
    <x v="3"/>
    <s v="JNE1081-NAVY-KR-161-M"/>
    <x v="0"/>
    <s v="6XL"/>
    <n v="3"/>
    <n v="399"/>
    <s v="Bhind"/>
    <x v="0"/>
    <n v="270001"/>
    <b v="1"/>
  </r>
  <r>
    <n v="162"/>
    <s v="489-5830292-7304931"/>
    <n v="4938578"/>
    <x v="0"/>
    <n v="41"/>
    <x v="1"/>
    <d v="2022-11-18T00:00:00"/>
    <x v="9"/>
    <x v="0"/>
    <x v="4"/>
    <s v="SET495-RED-KR-162-L"/>
    <x v="1"/>
    <s v="Free"/>
    <n v="4"/>
    <n v="1700"/>
    <s v="Chittoor"/>
    <x v="1"/>
    <n v="270002"/>
    <b v="0"/>
  </r>
  <r>
    <n v="163"/>
    <s v="423-5830292-7304932"/>
    <n v="3029487"/>
    <x v="0"/>
    <n v="25"/>
    <x v="2"/>
    <d v="2022-11-18T00:00:00"/>
    <x v="9"/>
    <x v="2"/>
    <x v="5"/>
    <s v="JNE1082-BLUE-KR-163-XL"/>
    <x v="2"/>
    <s v="M"/>
    <n v="5"/>
    <n v="3200"/>
    <s v="Kharagpur"/>
    <x v="2"/>
    <n v="270003"/>
    <b v="1"/>
  </r>
  <r>
    <n v="164"/>
    <s v="427-5830292-7304933"/>
    <n v="7193847"/>
    <x v="1"/>
    <n v="38"/>
    <x v="1"/>
    <d v="2022-11-18T00:00:00"/>
    <x v="9"/>
    <x v="0"/>
    <x v="0"/>
    <s v="SET496-GREEN-KR-164-S"/>
    <x v="3"/>
    <s v="L"/>
    <n v="1"/>
    <n v="495"/>
    <s v="Latur"/>
    <x v="3"/>
    <n v="270004"/>
    <b v="0"/>
  </r>
  <r>
    <n v="165"/>
    <s v="429-6738792-7304934"/>
    <n v="4839212"/>
    <x v="0"/>
    <n v="29"/>
    <x v="2"/>
    <d v="2022-11-18T00:00:00"/>
    <x v="9"/>
    <x v="0"/>
    <x v="1"/>
    <s v="JNE1083-YELLOW-KR-165-M"/>
    <x v="4"/>
    <s v="XL"/>
    <n v="2"/>
    <n v="1650"/>
    <s v="Kishanganj"/>
    <x v="4"/>
    <n v="270005"/>
    <b v="1"/>
  </r>
  <r>
    <n v="166"/>
    <s v="459-5830292-7304935"/>
    <n v="5942036"/>
    <x v="0"/>
    <n v="44"/>
    <x v="1"/>
    <d v="2022-11-18T00:00:00"/>
    <x v="9"/>
    <x v="0"/>
    <x v="2"/>
    <s v="SET497-BLACK-KR-166-L"/>
    <x v="5"/>
    <s v="S"/>
    <n v="3"/>
    <n v="3100"/>
    <s v="Nadiad"/>
    <x v="5"/>
    <n v="270006"/>
    <b v="0"/>
  </r>
  <r>
    <n v="167"/>
    <s v="459-5830292-7304936"/>
    <n v="3849213"/>
    <x v="1"/>
    <n v="32"/>
    <x v="1"/>
    <d v="2022-11-18T00:00:00"/>
    <x v="9"/>
    <x v="0"/>
    <x v="3"/>
    <s v="JNE1084-WHITE-KR-167-XL"/>
    <x v="6"/>
    <s v="3XL"/>
    <n v="4"/>
    <n v="410"/>
    <s v="Raichur"/>
    <x v="6"/>
    <n v="270007"/>
    <b v="1"/>
  </r>
  <r>
    <n v="168"/>
    <s v="459-5830292-7304937"/>
    <n v="7293847"/>
    <x v="0"/>
    <n v="37"/>
    <x v="1"/>
    <d v="2022-11-18T00:00:00"/>
    <x v="9"/>
    <x v="1"/>
    <x v="4"/>
    <s v="SET498-PINK-KR-168-S"/>
    <x v="7"/>
    <s v="4XL"/>
    <n v="5"/>
    <n v="1800"/>
    <s v="Panchkula"/>
    <x v="7"/>
    <n v="270008"/>
    <b v="0"/>
  </r>
  <r>
    <n v="169"/>
    <s v="459-5830292-7304938"/>
    <n v="5029392"/>
    <x v="0"/>
    <n v="28"/>
    <x v="2"/>
    <d v="2022-11-18T00:00:00"/>
    <x v="9"/>
    <x v="0"/>
    <x v="0"/>
    <s v="JNE1085-GRAY-KR-169-M"/>
    <x v="0"/>
    <s v="5XL"/>
    <n v="1"/>
    <n v="2850"/>
    <s v="Sultanpur"/>
    <x v="8"/>
    <n v="270009"/>
    <b v="1"/>
  </r>
  <r>
    <n v="170"/>
    <s v="459-5830292-7304939"/>
    <n v="8392047"/>
    <x v="0"/>
    <n v="40"/>
    <x v="1"/>
    <d v="2022-11-18T00:00:00"/>
    <x v="9"/>
    <x v="0"/>
    <x v="5"/>
    <s v="SET499-BROWN-KR-170-L"/>
    <x v="1"/>
    <s v="6XL"/>
    <n v="2"/>
    <n v="425"/>
    <s v="Pathankot"/>
    <x v="9"/>
    <n v="270010"/>
    <b v="0"/>
  </r>
  <r>
    <n v="171"/>
    <s v="459-5830292-7304940"/>
    <n v="1749214"/>
    <x v="1"/>
    <n v="26"/>
    <x v="2"/>
    <d v="2022-11-18T00:00:00"/>
    <x v="9"/>
    <x v="0"/>
    <x v="1"/>
    <s v="JNE1086-ORANGE-KR-171-XL"/>
    <x v="2"/>
    <s v="Free"/>
    <n v="3"/>
    <n v="1550"/>
    <s v="Amroha"/>
    <x v="10"/>
    <n v="280001"/>
    <b v="1"/>
  </r>
  <r>
    <n v="172"/>
    <s v="459-5830292-7304941"/>
    <n v="5839210"/>
    <x v="0"/>
    <n v="35"/>
    <x v="1"/>
    <d v="2022-12-17T00:00:00"/>
    <x v="10"/>
    <x v="0"/>
    <x v="2"/>
    <s v="SET500-PURPLE-KR-172-S"/>
    <x v="3"/>
    <s v="M"/>
    <n v="4"/>
    <n v="3400"/>
    <s v="Durg"/>
    <x v="11"/>
    <n v="280002"/>
    <b v="0"/>
  </r>
  <r>
    <n v="173"/>
    <s v="459-5830292-7304942"/>
    <n v="4938579"/>
    <x v="0"/>
    <n v="33"/>
    <x v="1"/>
    <d v="2022-12-18T00:00:00"/>
    <x v="10"/>
    <x v="2"/>
    <x v="0"/>
    <s v="JNE1087-BEIGE-KR-173-M"/>
    <x v="4"/>
    <s v="L"/>
    <n v="5"/>
    <n v="520"/>
    <s v="Barmer"/>
    <x v="12"/>
    <n v="280003"/>
    <b v="1"/>
  </r>
  <r>
    <n v="174"/>
    <s v="459-5830292-7304943"/>
    <n v="3029488"/>
    <x v="0"/>
    <n v="39"/>
    <x v="1"/>
    <d v="2022-12-19T00:00:00"/>
    <x v="10"/>
    <x v="0"/>
    <x v="3"/>
    <s v="SET501-NAVY-KR-174-L"/>
    <x v="5"/>
    <s v="XL"/>
    <n v="1"/>
    <n v="1750"/>
    <s v="Darjeeling"/>
    <x v="13"/>
    <n v="280004"/>
    <b v="0"/>
  </r>
  <r>
    <n v="175"/>
    <s v="459-5830292-7304944"/>
    <n v="7193848"/>
    <x v="1"/>
    <n v="27"/>
    <x v="2"/>
    <d v="2022-12-20T00:00:00"/>
    <x v="10"/>
    <x v="0"/>
    <x v="4"/>
    <s v="JNE1088-RED-KR-175-XL"/>
    <x v="6"/>
    <s v="S"/>
    <n v="2"/>
    <n v="3000"/>
    <s v="Karnal"/>
    <x v="14"/>
    <n v="280005"/>
    <b v="1"/>
  </r>
  <r>
    <n v="176"/>
    <s v="469-9203841-2948577"/>
    <n v="4839213"/>
    <x v="0"/>
    <n v="42"/>
    <x v="1"/>
    <d v="2022-12-21T00:00:00"/>
    <x v="10"/>
    <x v="0"/>
    <x v="5"/>
    <s v="SET502-BLUE-KR-176-S"/>
    <x v="7"/>
    <s v="3XL"/>
    <n v="3"/>
    <n v="399"/>
    <s v="Katihar"/>
    <x v="15"/>
    <n v="280006"/>
    <b v="0"/>
  </r>
  <r>
    <n v="177"/>
    <s v="386-4029385-8392019"/>
    <n v="5942037"/>
    <x v="0"/>
    <n v="30"/>
    <x v="1"/>
    <d v="2022-12-22T00:00:00"/>
    <x v="10"/>
    <x v="0"/>
    <x v="0"/>
    <s v="JNE1089-GREEN-KR-177-M"/>
    <x v="0"/>
    <s v="4XL"/>
    <n v="4"/>
    <n v="1850"/>
    <s v="Rajnandgaon"/>
    <x v="16"/>
    <n v="280007"/>
    <b v="1"/>
  </r>
  <r>
    <n v="178"/>
    <s v="302-1928373-7304929"/>
    <n v="3849214"/>
    <x v="0"/>
    <n v="36"/>
    <x v="1"/>
    <d v="2022-12-23T00:00:00"/>
    <x v="10"/>
    <x v="1"/>
    <x v="1"/>
    <s v="SET503-YELLOW-KR-178-L"/>
    <x v="1"/>
    <s v="5XL"/>
    <n v="5"/>
    <n v="2950"/>
    <s v="Shivamogga"/>
    <x v="17"/>
    <n v="280008"/>
    <b v="0"/>
  </r>
  <r>
    <n v="179"/>
    <s v="421-5830292-2948572"/>
    <n v="7293848"/>
    <x v="1"/>
    <n v="34"/>
    <x v="1"/>
    <d v="2022-12-24T00:00:00"/>
    <x v="10"/>
    <x v="0"/>
    <x v="2"/>
    <s v="JNE1090-BLACK-KR-179-XL"/>
    <x v="2"/>
    <s v="6XL"/>
    <n v="1"/>
    <n v="475"/>
    <s v="Baharampur"/>
    <x v="18"/>
    <n v="280009"/>
    <b v="1"/>
  </r>
  <r>
    <n v="180"/>
    <s v="357-8392011-4029380"/>
    <n v="5029393"/>
    <x v="0"/>
    <n v="41"/>
    <x v="1"/>
    <d v="2022-12-25T00:00:00"/>
    <x v="10"/>
    <x v="0"/>
    <x v="3"/>
    <s v="SET504-WHITE-KR-180-S"/>
    <x v="3"/>
    <s v="Free"/>
    <n v="2"/>
    <n v="1600"/>
    <s v="Mahasamund"/>
    <x v="19"/>
    <n v="280010"/>
    <b v="0"/>
  </r>
  <r>
    <n v="181"/>
    <s v="278-2948575-1928376"/>
    <n v="8392048"/>
    <x v="0"/>
    <n v="25"/>
    <x v="2"/>
    <d v="2022-12-26T00:00:00"/>
    <x v="10"/>
    <x v="0"/>
    <x v="4"/>
    <s v="JNE1091-PINK-KR-181-M"/>
    <x v="4"/>
    <s v="M"/>
    <n v="3"/>
    <n v="3250"/>
    <s v="Banswara"/>
    <x v="0"/>
    <n v="290001"/>
    <b v="1"/>
  </r>
  <r>
    <n v="182"/>
    <s v="493-7304927-9203844"/>
    <n v="1749215"/>
    <x v="0"/>
    <n v="38"/>
    <x v="1"/>
    <d v="2022-12-27T00:00:00"/>
    <x v="10"/>
    <x v="0"/>
    <x v="0"/>
    <s v="SET505-GRAY-KR-182-L"/>
    <x v="5"/>
    <s v="L"/>
    <n v="4"/>
    <n v="520"/>
    <s v="Hoshiarpur"/>
    <x v="1"/>
    <n v="290002"/>
    <b v="0"/>
  </r>
  <r>
    <n v="183"/>
    <s v="364-4029386-5839205"/>
    <n v="5839211"/>
    <x v="0"/>
    <n v="29"/>
    <x v="2"/>
    <d v="2022-12-28T00:00:00"/>
    <x v="10"/>
    <x v="2"/>
    <x v="5"/>
    <s v="JNE1092-BROWN-KR-183-XL"/>
    <x v="6"/>
    <s v="XL"/>
    <n v="5"/>
    <n v="1500"/>
    <s v="Tiruvannamalai"/>
    <x v="2"/>
    <n v="290003"/>
    <b v="1"/>
  </r>
  <r>
    <n v="184"/>
    <s v="217-1928370-8392012"/>
    <n v="4938580"/>
    <x v="1"/>
    <n v="43"/>
    <x v="1"/>
    <d v="2022-12-29T00:00:00"/>
    <x v="10"/>
    <x v="0"/>
    <x v="1"/>
    <s v="SET506-ORANGE-KR-184-S"/>
    <x v="7"/>
    <s v="S"/>
    <n v="1"/>
    <n v="3050"/>
    <s v="Purnia"/>
    <x v="3"/>
    <n v="290004"/>
    <b v="0"/>
  </r>
  <r>
    <n v="185"/>
    <s v="480-2948578-7304923"/>
    <n v="3029489"/>
    <x v="0"/>
    <n v="32"/>
    <x v="1"/>
    <d v="2022-12-30T00:00:00"/>
    <x v="10"/>
    <x v="0"/>
    <x v="2"/>
    <s v="JNE1093-PURPLE-KR-185-M"/>
    <x v="0"/>
    <s v="3XL"/>
    <n v="2"/>
    <n v="410"/>
    <s v="Sitapur"/>
    <x v="4"/>
    <n v="290005"/>
    <b v="1"/>
  </r>
  <r>
    <n v="186"/>
    <s v="389-9203847-4029388"/>
    <n v="7193849"/>
    <x v="0"/>
    <n v="37"/>
    <x v="1"/>
    <d v="2022-12-31T00:00:00"/>
    <x v="10"/>
    <x v="0"/>
    <x v="0"/>
    <s v="SET507-BEIGE-KR-186-L"/>
    <x v="1"/>
    <s v="4XL"/>
    <n v="3"/>
    <n v="1650"/>
    <s v="Chandrapur"/>
    <x v="5"/>
    <n v="290006"/>
    <b v="0"/>
  </r>
  <r>
    <n v="187"/>
    <s v="305-8392015-1928379"/>
    <n v="4839214"/>
    <x v="0"/>
    <n v="28"/>
    <x v="2"/>
    <d v="2023-01-01T00:00:00"/>
    <x v="0"/>
    <x v="0"/>
    <x v="3"/>
    <s v="JNE1094-NAVY-KR-187-XL"/>
    <x v="2"/>
    <s v="5XL"/>
    <n v="4"/>
    <n v="3100"/>
    <s v="Bhadrak"/>
    <x v="6"/>
    <n v="290007"/>
    <b v="1"/>
  </r>
  <r>
    <n v="188"/>
    <s v="472-5830297-2948571"/>
    <n v="5942038"/>
    <x v="1"/>
    <n v="40"/>
    <x v="1"/>
    <d v="2023-01-02T00:00:00"/>
    <x v="0"/>
    <x v="1"/>
    <x v="4"/>
    <s v="SET508-RED-KR-188-S"/>
    <x v="3"/>
    <s v="6XL"/>
    <n v="5"/>
    <n v="425"/>
    <s v="Barpeta"/>
    <x v="7"/>
    <n v="290008"/>
    <b v="0"/>
  </r>
  <r>
    <n v="189"/>
    <s v="330-7304920-4029381"/>
    <n v="3849215"/>
    <x v="0"/>
    <n v="26"/>
    <x v="2"/>
    <d v="2023-01-03T00:00:00"/>
    <x v="0"/>
    <x v="0"/>
    <x v="5"/>
    <s v="JNE1095-BLUE-KR-189-M"/>
    <x v="4"/>
    <s v="Free"/>
    <n v="1"/>
    <n v="1900"/>
    <s v="Hamirpur"/>
    <x v="8"/>
    <n v="290009"/>
    <b v="1"/>
  </r>
  <r>
    <n v="190"/>
    <s v="464-327692-29979"/>
    <n v="7293849"/>
    <x v="0"/>
    <n v="35"/>
    <x v="1"/>
    <d v="2023-01-04T00:00:00"/>
    <x v="0"/>
    <x v="0"/>
    <x v="0"/>
    <s v="SET509-GREEN-KR-190-L"/>
    <x v="5"/>
    <s v="XXL"/>
    <n v="2"/>
    <n v="2750"/>
    <s v="Khammam"/>
    <x v="9"/>
    <n v="290010"/>
    <b v="0"/>
  </r>
  <r>
    <n v="191"/>
    <s v="455-329084-23890"/>
    <n v="5029394"/>
    <x v="0"/>
    <n v="33"/>
    <x v="1"/>
    <d v="2023-01-05T00:00:00"/>
    <x v="0"/>
    <x v="0"/>
    <x v="1"/>
    <s v="JNE1096-YELLOW-KR-191-XL"/>
    <x v="6"/>
    <s v="XXL"/>
    <n v="3"/>
    <n v="499"/>
    <s v="Rewa"/>
    <x v="10"/>
    <n v="300001"/>
    <b v="1"/>
  </r>
  <r>
    <n v="192"/>
    <s v="361-8392020-4029386"/>
    <n v="8392049"/>
    <x v="0"/>
    <n v="39"/>
    <x v="1"/>
    <d v="2023-01-06T00:00:00"/>
    <x v="0"/>
    <x v="0"/>
    <x v="2"/>
    <s v="SET510-BLACK-KR-192-S"/>
    <x v="7"/>
    <s v="3XL"/>
    <n v="4"/>
    <n v="1550"/>
    <s v="Baghpat"/>
    <x v="11"/>
    <n v="300002"/>
    <b v="0"/>
  </r>
  <r>
    <n v="193"/>
    <s v="278-2948573-9203849"/>
    <n v="1749216"/>
    <x v="1"/>
    <n v="27"/>
    <x v="2"/>
    <d v="2023-01-07T00:00:00"/>
    <x v="0"/>
    <x v="2"/>
    <x v="3"/>
    <s v="JNE1097-WHITE-KR-193-M"/>
    <x v="0"/>
    <s v="M"/>
    <n v="5"/>
    <n v="3300"/>
    <s v="Sambalpur"/>
    <x v="12"/>
    <n v="300003"/>
    <b v="1"/>
  </r>
  <r>
    <n v="194"/>
    <s v="417-1928374-7304925"/>
    <n v="5839212"/>
    <x v="0"/>
    <n v="42"/>
    <x v="1"/>
    <d v="2023-01-08T00:00:00"/>
    <x v="0"/>
    <x v="0"/>
    <x v="4"/>
    <s v="SET511-PINK-KR-194-L"/>
    <x v="1"/>
    <s v="S"/>
    <n v="1"/>
    <n v="395"/>
    <s v="Jagdalpur"/>
    <x v="13"/>
    <n v="300004"/>
    <b v="0"/>
  </r>
  <r>
    <n v="195"/>
    <s v="399-5839208-2948576"/>
    <n v="4938581"/>
    <x v="0"/>
    <n v="30"/>
    <x v="1"/>
    <d v="2023-01-09T00:00:00"/>
    <x v="0"/>
    <x v="0"/>
    <x v="0"/>
    <s v="JNE1098-GRAY-KR-195-XL"/>
    <x v="2"/>
    <s v="XXL"/>
    <n v="2"/>
    <n v="1750"/>
    <s v="Buldhana"/>
    <x v="14"/>
    <n v="300005"/>
    <b v="1"/>
  </r>
  <r>
    <n v="196"/>
    <s v="284-4029389-8392011"/>
    <n v="3029490"/>
    <x v="0"/>
    <n v="36"/>
    <x v="1"/>
    <d v="2023-01-10T00:00:00"/>
    <x v="0"/>
    <x v="0"/>
    <x v="5"/>
    <s v="SET512-BROWN-KR-196-S"/>
    <x v="3"/>
    <s v="3XL"/>
    <n v="3"/>
    <n v="3000"/>
    <s v="Srikakulam"/>
    <x v="15"/>
    <n v="300006"/>
    <b v="0"/>
  </r>
  <r>
    <n v="197"/>
    <s v="362-7304922-1928377"/>
    <n v="7193850"/>
    <x v="0"/>
    <n v="34"/>
    <x v="1"/>
    <d v="2023-01-11T00:00:00"/>
    <x v="0"/>
    <x v="0"/>
    <x v="1"/>
    <s v="JNE1099-ORANGE-KR-197-M"/>
    <x v="4"/>
    <s v="3XL"/>
    <n v="4"/>
    <n v="520"/>
    <s v="Shivpuri"/>
    <x v="16"/>
    <n v="300007"/>
    <b v="1"/>
  </r>
  <r>
    <n v="198"/>
    <s v="425-2948579-5830295"/>
    <n v="218342"/>
    <x v="1"/>
    <n v="41"/>
    <x v="1"/>
    <d v="2023-01-12T00:00:00"/>
    <x v="0"/>
    <x v="1"/>
    <x v="2"/>
    <s v="SET513-PURPLE-KR-198-L"/>
    <x v="5"/>
    <s v="3XL"/>
    <n v="5"/>
    <n v="1800"/>
    <s v="Bijnor"/>
    <x v="17"/>
    <n v="300008"/>
    <b v="0"/>
  </r>
  <r>
    <n v="199"/>
    <s v="451-8392015-7304927"/>
    <n v="7490806"/>
    <x v="0"/>
    <n v="25"/>
    <x v="2"/>
    <d v="2023-01-13T00:00:00"/>
    <x v="0"/>
    <x v="0"/>
    <x v="0"/>
    <s v="JNE1100-BEIGE-KR-199-XL"/>
    <x v="6"/>
    <s v="3XL"/>
    <n v="1"/>
    <n v="2850"/>
    <s v="Khandwa"/>
    <x v="18"/>
    <n v="300009"/>
    <b v="1"/>
  </r>
  <r>
    <n v="200"/>
    <s v="187-5830293-2948571"/>
    <n v="1298130"/>
    <x v="0"/>
    <n v="38"/>
    <x v="1"/>
    <d v="2023-01-14T00:00:00"/>
    <x v="0"/>
    <x v="0"/>
    <x v="3"/>
    <s v="SET514-NAVY-KR-200-S"/>
    <x v="7"/>
    <s v="3XL"/>
    <n v="2"/>
    <n v="410"/>
    <s v="Ratlam"/>
    <x v="19"/>
    <n v="30001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DF02A-C825-41A2-AFC2-829BC78E12D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4" firstHeaderRow="0" firstDataRow="1" firstDataCol="1"/>
  <pivotFields count="19">
    <pivotField showAll="0"/>
    <pivotField dataField="1" showAll="0"/>
    <pivotField showAll="0"/>
    <pivotField showAll="0"/>
    <pivotField showAll="0"/>
    <pivotField showAll="0"/>
    <pivotField numFmtId="14" showAll="0"/>
    <pivotField axis="axisRow" showAll="0" sortType="ascending">
      <items count="12">
        <item x="0"/>
        <item x="1"/>
        <item x="2"/>
        <item x="3"/>
        <item x="4"/>
        <item x="5"/>
        <item x="6"/>
        <item x="7"/>
        <item x="8"/>
        <item x="9"/>
        <item x="10"/>
        <item t="default"/>
      </items>
    </pivotField>
    <pivotField showAll="0"/>
    <pivotField showAll="0">
      <items count="7">
        <item x="2"/>
        <item x="0"/>
        <item x="1"/>
        <item x="4"/>
        <item x="3"/>
        <item x="5"/>
        <item t="default"/>
      </items>
    </pivotField>
    <pivotField showAll="0"/>
    <pivotField showAll="0">
      <items count="9">
        <item x="0"/>
        <item x="1"/>
        <item x="2"/>
        <item x="3"/>
        <item x="4"/>
        <item x="5"/>
        <item x="6"/>
        <item x="7"/>
        <item t="default"/>
      </items>
    </pivotField>
    <pivotField showAll="0"/>
    <pivotField showAll="0"/>
    <pivotField dataField="1" showAll="0"/>
    <pivotField showAll="0"/>
    <pivotField showAll="0"/>
    <pivotField showAll="0"/>
    <pivotField showAll="0"/>
  </pivotFields>
  <rowFields count="1">
    <field x="7"/>
  </rowFields>
  <rowItems count="11">
    <i>
      <x/>
    </i>
    <i>
      <x v="1"/>
    </i>
    <i>
      <x v="2"/>
    </i>
    <i>
      <x v="3"/>
    </i>
    <i>
      <x v="4"/>
    </i>
    <i>
      <x v="5"/>
    </i>
    <i>
      <x v="6"/>
    </i>
    <i>
      <x v="7"/>
    </i>
    <i>
      <x v="8"/>
    </i>
    <i>
      <x v="9"/>
    </i>
    <i>
      <x v="10"/>
    </i>
  </rowItems>
  <colFields count="1">
    <field x="-2"/>
  </colFields>
  <colItems count="2">
    <i>
      <x/>
    </i>
    <i i="1">
      <x v="1"/>
    </i>
  </colItems>
  <dataFields count="2">
    <dataField name="Sum of Amount" fld="14"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0748E8-E62B-4E3F-8C18-8A8A5FF2961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19">
    <pivotField showAll="0"/>
    <pivotField showAll="0"/>
    <pivotField showAll="0"/>
    <pivotField axis="axisRow" showAll="0">
      <items count="3">
        <item x="1"/>
        <item x="0"/>
        <item t="default"/>
      </items>
    </pivotField>
    <pivotField showAll="0"/>
    <pivotField showAll="0"/>
    <pivotField numFmtId="14" showAll="0"/>
    <pivotField showAll="0">
      <items count="12">
        <item x="0"/>
        <item x="1"/>
        <item x="2"/>
        <item x="3"/>
        <item x="4"/>
        <item x="5"/>
        <item x="6"/>
        <item x="7"/>
        <item x="8"/>
        <item x="9"/>
        <item x="10"/>
        <item t="default"/>
      </items>
    </pivotField>
    <pivotField showAll="0"/>
    <pivotField showAll="0">
      <items count="7">
        <item x="2"/>
        <item x="0"/>
        <item x="1"/>
        <item x="4"/>
        <item x="3"/>
        <item x="5"/>
        <item t="default"/>
      </items>
    </pivotField>
    <pivotField showAll="0"/>
    <pivotField showAll="0">
      <items count="9">
        <item x="0"/>
        <item x="1"/>
        <item x="2"/>
        <item x="3"/>
        <item x="4"/>
        <item x="5"/>
        <item x="6"/>
        <item x="7"/>
        <item t="default"/>
      </items>
    </pivotField>
    <pivotField showAll="0"/>
    <pivotField showAll="0"/>
    <pivotField dataField="1" showAll="0"/>
    <pivotField showAll="0"/>
    <pivotField showAll="0"/>
    <pivotField showAll="0"/>
    <pivotField showAll="0"/>
  </pivotFields>
  <rowFields count="1">
    <field x="3"/>
  </rowFields>
  <rowItems count="2">
    <i>
      <x/>
    </i>
    <i>
      <x v="1"/>
    </i>
  </rowItems>
  <colItems count="1">
    <i/>
  </colItems>
  <dataFields count="1">
    <dataField name="Sum of Amount" fld="1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E0274A-2DEB-4BD3-B485-F8F0705836D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19">
    <pivotField showAll="0"/>
    <pivotField dataField="1" showAll="0"/>
    <pivotField showAll="0"/>
    <pivotField showAll="0"/>
    <pivotField showAll="0"/>
    <pivotField showAll="0"/>
    <pivotField numFmtId="14" showAll="0"/>
    <pivotField showAll="0">
      <items count="12">
        <item x="0"/>
        <item x="1"/>
        <item x="2"/>
        <item x="3"/>
        <item x="4"/>
        <item x="5"/>
        <item x="6"/>
        <item x="7"/>
        <item x="8"/>
        <item x="9"/>
        <item x="10"/>
        <item t="default"/>
      </items>
    </pivotField>
    <pivotField axis="axisRow" showAll="0">
      <items count="5">
        <item x="1"/>
        <item x="0"/>
        <item x="2"/>
        <item x="3"/>
        <item t="default"/>
      </items>
    </pivotField>
    <pivotField showAll="0">
      <items count="7">
        <item x="2"/>
        <item x="0"/>
        <item x="1"/>
        <item x="4"/>
        <item x="3"/>
        <item x="5"/>
        <item t="default"/>
      </items>
    </pivotField>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 chart="4" format="12">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9FF078-95C2-4E1E-A5E3-E7467CF10F9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9">
    <pivotField showAll="0"/>
    <pivotField showAll="0"/>
    <pivotField showAll="0"/>
    <pivotField showAll="0"/>
    <pivotField showAll="0"/>
    <pivotField showAll="0"/>
    <pivotField numFmtId="14" showAll="0"/>
    <pivotField showAll="0">
      <items count="12">
        <item x="0"/>
        <item x="1"/>
        <item x="2"/>
        <item x="3"/>
        <item x="4"/>
        <item x="5"/>
        <item x="6"/>
        <item x="7"/>
        <item x="8"/>
        <item x="9"/>
        <item x="10"/>
        <item t="default"/>
      </items>
    </pivotField>
    <pivotField showAll="0"/>
    <pivotField showAll="0">
      <items count="7">
        <item x="2"/>
        <item x="0"/>
        <item x="1"/>
        <item x="4"/>
        <item x="3"/>
        <item x="5"/>
        <item t="default"/>
      </items>
    </pivotField>
    <pivotField showAll="0"/>
    <pivotField showAll="0">
      <items count="9">
        <item x="0"/>
        <item x="1"/>
        <item x="2"/>
        <item x="3"/>
        <item x="4"/>
        <item x="5"/>
        <item x="6"/>
        <item x="7"/>
        <item t="default"/>
      </items>
    </pivotField>
    <pivotField showAll="0"/>
    <pivotField showAll="0"/>
    <pivotField dataField="1" showAll="0"/>
    <pivotField showAll="0"/>
    <pivotField axis="axisRow" showAll="0" measureFilter="1">
      <items count="21">
        <item x="18"/>
        <item x="10"/>
        <item x="15"/>
        <item x="1"/>
        <item x="6"/>
        <item x="12"/>
        <item x="19"/>
        <item x="14"/>
        <item x="2"/>
        <item x="13"/>
        <item x="9"/>
        <item x="0"/>
        <item x="16"/>
        <item x="11"/>
        <item x="7"/>
        <item x="4"/>
        <item x="5"/>
        <item x="8"/>
        <item x="17"/>
        <item x="3"/>
        <item t="default"/>
      </items>
    </pivotField>
    <pivotField showAll="0"/>
    <pivotField showAll="0"/>
  </pivotFields>
  <rowFields count="1">
    <field x="16"/>
  </rowFields>
  <rowItems count="5">
    <i>
      <x v="8"/>
    </i>
    <i>
      <x v="10"/>
    </i>
    <i>
      <x v="11"/>
    </i>
    <i>
      <x v="13"/>
    </i>
    <i>
      <x v="16"/>
    </i>
  </rowItems>
  <colItems count="1">
    <i/>
  </colItems>
  <dataFields count="1">
    <dataField name="Sum of Amount" fld="1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49CCF-FF2E-4FC6-A08F-2FD954DE0F0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7" firstHeaderRow="1" firstDataRow="2" firstDataCol="1"/>
  <pivotFields count="19">
    <pivotField showAll="0"/>
    <pivotField dataField="1" showAll="0"/>
    <pivotField showAll="0"/>
    <pivotField axis="axisCol" showAll="0" sortType="ascending">
      <items count="3">
        <item x="1"/>
        <item x="0"/>
        <item t="default"/>
      </items>
    </pivotField>
    <pivotField showAll="0"/>
    <pivotField axis="axisRow" showAll="0">
      <items count="4">
        <item x="1"/>
        <item x="0"/>
        <item x="2"/>
        <item t="default"/>
      </items>
    </pivotField>
    <pivotField numFmtId="14" showAll="0"/>
    <pivotField showAll="0">
      <items count="12">
        <item x="0"/>
        <item x="1"/>
        <item x="2"/>
        <item x="3"/>
        <item x="4"/>
        <item x="5"/>
        <item x="6"/>
        <item x="7"/>
        <item x="8"/>
        <item x="9"/>
        <item x="10"/>
        <item t="default"/>
      </items>
    </pivotField>
    <pivotField showAll="0"/>
    <pivotField showAll="0">
      <items count="7">
        <item x="2"/>
        <item x="0"/>
        <item x="1"/>
        <item x="4"/>
        <item x="3"/>
        <item x="5"/>
        <item t="default"/>
      </items>
    </pivotField>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3" count="1" selected="0">
            <x v="1"/>
          </reference>
          <reference field="5" count="1" selected="0">
            <x v="0"/>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E1FFFF-7EA6-445F-B743-FFBD3586566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pivotFields count="19">
    <pivotField showAll="0"/>
    <pivotField dataField="1" showAll="0"/>
    <pivotField showAll="0"/>
    <pivotField showAll="0"/>
    <pivotField showAll="0"/>
    <pivotField showAll="0"/>
    <pivotField numFmtId="14" showAll="0"/>
    <pivotField showAll="0">
      <items count="12">
        <item x="0"/>
        <item x="1"/>
        <item x="2"/>
        <item x="3"/>
        <item x="4"/>
        <item x="5"/>
        <item x="6"/>
        <item x="7"/>
        <item x="8"/>
        <item x="9"/>
        <item x="10"/>
        <item t="default"/>
      </items>
    </pivotField>
    <pivotField showAll="0"/>
    <pivotField axis="axisRow" showAll="0">
      <items count="7">
        <item x="2"/>
        <item x="0"/>
        <item x="1"/>
        <item x="4"/>
        <item x="3"/>
        <item x="5"/>
        <item t="default"/>
      </items>
    </pivotField>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s>
  <rowFields count="1">
    <field x="9"/>
  </rowFields>
  <rowItems count="6">
    <i>
      <x/>
    </i>
    <i>
      <x v="1"/>
    </i>
    <i>
      <x v="2"/>
    </i>
    <i>
      <x v="3"/>
    </i>
    <i>
      <x v="4"/>
    </i>
    <i>
      <x v="5"/>
    </i>
  </rowItems>
  <colItems count="1">
    <i/>
  </colItems>
  <dataFields count="1">
    <dataField name="Count of Order ID" fld="1" subtotal="count" showDataAs="percentOfTotal" baseField="0" baseItem="0" numFmtId="164"/>
  </dataFields>
  <formats count="1">
    <format dxfId="0">
      <pivotArea outline="0" collapsedLevelsAreSubtotals="1" fieldPosition="0"/>
    </format>
  </formats>
  <chartFormats count="2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4"/>
          </reference>
        </references>
      </pivotArea>
    </chartFormat>
    <chartFormat chart="2" format="7">
      <pivotArea type="data" outline="0" fieldPosition="0">
        <references count="2">
          <reference field="4294967294" count="1" selected="0">
            <x v="0"/>
          </reference>
          <reference field="9"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3"/>
          </reference>
        </references>
      </pivotArea>
    </chartFormat>
    <chartFormat chart="3" format="13">
      <pivotArea type="data" outline="0" fieldPosition="0">
        <references count="2">
          <reference field="4294967294" count="1" selected="0">
            <x v="0"/>
          </reference>
          <reference field="9" count="1" selected="0">
            <x v="4"/>
          </reference>
        </references>
      </pivotArea>
    </chartFormat>
    <chartFormat chart="3" format="14">
      <pivotArea type="data" outline="0" fieldPosition="0">
        <references count="2">
          <reference field="4294967294" count="1" selected="0">
            <x v="0"/>
          </reference>
          <reference field="9"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 chart="4" format="12">
      <pivotArea type="data" outline="0" fieldPosition="0">
        <references count="2">
          <reference field="4294967294" count="1" selected="0">
            <x v="0"/>
          </reference>
          <reference field="9" count="1" selected="0">
            <x v="3"/>
          </reference>
        </references>
      </pivotArea>
    </chartFormat>
    <chartFormat chart="4" format="13">
      <pivotArea type="data" outline="0" fieldPosition="0">
        <references count="2">
          <reference field="4294967294" count="1" selected="0">
            <x v="0"/>
          </reference>
          <reference field="9" count="1" selected="0">
            <x v="4"/>
          </reference>
        </references>
      </pivotArea>
    </chartFormat>
    <chartFormat chart="4" format="14">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0"/>
          </reference>
        </references>
      </pivotArea>
    </chartFormat>
    <chartFormat chart="0" format="8">
      <pivotArea type="data" outline="0" fieldPosition="0">
        <references count="2">
          <reference field="4294967294" count="1" selected="0">
            <x v="0"/>
          </reference>
          <reference field="9" count="1" selected="0">
            <x v="1"/>
          </reference>
        </references>
      </pivotArea>
    </chartFormat>
    <chartFormat chart="0" format="9">
      <pivotArea type="data" outline="0" fieldPosition="0">
        <references count="2">
          <reference field="4294967294" count="1" selected="0">
            <x v="0"/>
          </reference>
          <reference field="9" count="1" selected="0">
            <x v="2"/>
          </reference>
        </references>
      </pivotArea>
    </chartFormat>
    <chartFormat chart="0" format="10">
      <pivotArea type="data" outline="0" fieldPosition="0">
        <references count="2">
          <reference field="4294967294" count="1" selected="0">
            <x v="0"/>
          </reference>
          <reference field="9" count="1" selected="0">
            <x v="3"/>
          </reference>
        </references>
      </pivotArea>
    </chartFormat>
    <chartFormat chart="0" format="11">
      <pivotArea type="data" outline="0" fieldPosition="0">
        <references count="2">
          <reference field="4294967294" count="1" selected="0">
            <x v="0"/>
          </reference>
          <reference field="9" count="1" selected="0">
            <x v="4"/>
          </reference>
        </references>
      </pivotArea>
    </chartFormat>
    <chartFormat chart="0" format="12">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BC4159-842B-46D8-B67C-3708AF31357D}" sourceName="Month">
  <pivotTables>
    <pivotTable tabId="2" name="PivotTable1"/>
    <pivotTable tabId="8" name="PivotTable6"/>
    <pivotTable tabId="9" name="PivotTable7"/>
    <pivotTable tabId="4" name="PivotTable2"/>
    <pivotTable tabId="5" name="PivotTable3"/>
    <pivotTable tabId="7" name="PivotTable5"/>
  </pivotTables>
  <data>
    <tabular pivotCacheId="563844481">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59EB50F-6294-40F8-BD56-8BD2E4F9E550}" sourceName="Channel">
  <pivotTables>
    <pivotTable tabId="2" name="PivotTable1"/>
    <pivotTable tabId="8" name="PivotTable6"/>
    <pivotTable tabId="9" name="PivotTable7"/>
    <pivotTable tabId="4" name="PivotTable2"/>
    <pivotTable tabId="5" name="PivotTable3"/>
    <pivotTable tabId="7" name="PivotTable5"/>
  </pivotTables>
  <data>
    <tabular pivotCacheId="563844481">
      <items count="6">
        <i x="2" s="1"/>
        <i x="0" s="1"/>
        <i x="1"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36CEE6-790C-4505-B0C7-FF5C5CE52730}" sourceName="Category">
  <pivotTables>
    <pivotTable tabId="2" name="PivotTable1"/>
    <pivotTable tabId="8" name="PivotTable6"/>
    <pivotTable tabId="9" name="PivotTable7"/>
    <pivotTable tabId="4" name="PivotTable2"/>
    <pivotTable tabId="5" name="PivotTable3"/>
    <pivotTable tabId="7" name="PivotTable5"/>
  </pivotTables>
  <data>
    <tabular pivotCacheId="563844481">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6014D1D-E4FA-489C-8A63-9F5031051FF4}" cache="Slicer_Month" caption="Month" rowHeight="234950"/>
  <slicer name="Channel" xr10:uid="{01AD3176-C074-47ED-9307-C3CFEE6E804B}" cache="Slicer_Channel" caption="Channel" rowHeight="234950"/>
  <slicer name="Category" xr10:uid="{EFE22D64-4D58-4AB7-A7DA-04B4D77F5811}"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BFE-92B3-446C-A069-CF6C920E1B83}">
  <dimension ref="A1:AJ30"/>
  <sheetViews>
    <sheetView showGridLines="0" tabSelected="1" workbookViewId="0">
      <selection activeCell="W9" sqref="W9"/>
    </sheetView>
  </sheetViews>
  <sheetFormatPr defaultRowHeight="14.4" x14ac:dyDescent="0.3"/>
  <sheetData>
    <row r="1" spans="1:36" ht="24" thickBot="1" x14ac:dyDescent="0.5">
      <c r="A1" s="18" t="s">
        <v>676</v>
      </c>
      <c r="B1" s="19"/>
      <c r="C1" s="19"/>
      <c r="D1" s="19"/>
      <c r="E1" s="19"/>
      <c r="F1" s="19"/>
      <c r="G1" s="19"/>
      <c r="H1" s="19"/>
      <c r="I1" s="19"/>
      <c r="J1" s="19"/>
      <c r="K1" s="19"/>
      <c r="L1" s="19"/>
      <c r="M1" s="19"/>
      <c r="N1" s="19"/>
      <c r="O1" s="19"/>
      <c r="P1" s="19"/>
      <c r="Q1" s="19"/>
      <c r="R1" s="20"/>
      <c r="S1" s="18" t="s">
        <v>677</v>
      </c>
      <c r="T1" s="19"/>
      <c r="U1" s="19"/>
      <c r="V1" s="19"/>
      <c r="W1" s="19"/>
      <c r="X1" s="19"/>
      <c r="Y1" s="19"/>
      <c r="Z1" s="19"/>
      <c r="AA1" s="19"/>
      <c r="AB1" s="19"/>
      <c r="AC1" s="19"/>
      <c r="AD1" s="19"/>
      <c r="AE1" s="19"/>
      <c r="AF1" s="19"/>
      <c r="AG1" s="19"/>
      <c r="AH1" s="19"/>
      <c r="AI1" s="19"/>
      <c r="AJ1" s="20"/>
    </row>
    <row r="2" spans="1:36" ht="15" thickBot="1" x14ac:dyDescent="0.35">
      <c r="A2" s="7"/>
      <c r="B2" s="7"/>
      <c r="C2" s="7"/>
      <c r="D2" s="7"/>
      <c r="E2" s="7"/>
      <c r="F2" s="7"/>
      <c r="G2" s="7"/>
      <c r="H2" s="7"/>
      <c r="I2" s="7"/>
      <c r="J2" s="7"/>
      <c r="K2" s="7"/>
      <c r="L2" s="7"/>
      <c r="M2" s="7"/>
      <c r="N2" s="7"/>
      <c r="O2" s="7"/>
      <c r="P2" s="7"/>
      <c r="Q2" s="7"/>
      <c r="R2" s="7"/>
      <c r="S2" s="7"/>
      <c r="T2" s="7"/>
      <c r="U2" s="7"/>
      <c r="V2" s="7"/>
      <c r="W2" s="7"/>
      <c r="X2" s="7"/>
    </row>
    <row r="3" spans="1:36" x14ac:dyDescent="0.3">
      <c r="A3" s="7"/>
      <c r="B3" s="8"/>
      <c r="C3" s="9"/>
      <c r="D3" s="9"/>
      <c r="E3" s="9"/>
      <c r="F3" s="9"/>
      <c r="G3" s="10"/>
      <c r="H3" s="7"/>
      <c r="I3" s="7"/>
      <c r="J3" s="7"/>
      <c r="K3" s="7"/>
      <c r="L3" s="7"/>
      <c r="M3" s="7"/>
      <c r="N3" s="7"/>
      <c r="O3" s="7"/>
      <c r="P3" s="7"/>
      <c r="Q3" s="7"/>
      <c r="R3" s="7"/>
      <c r="S3" s="7"/>
      <c r="T3" s="7"/>
      <c r="U3" s="7"/>
      <c r="V3" s="7"/>
      <c r="W3" s="7"/>
      <c r="X3" s="7"/>
    </row>
    <row r="4" spans="1:36" x14ac:dyDescent="0.3">
      <c r="A4" s="7"/>
      <c r="B4" s="11"/>
      <c r="C4" s="7"/>
      <c r="D4" s="7"/>
      <c r="E4" s="7"/>
      <c r="F4" s="7"/>
      <c r="G4" s="12"/>
      <c r="H4" s="7"/>
      <c r="I4" s="7"/>
      <c r="J4" s="7"/>
      <c r="K4" s="7"/>
      <c r="L4" s="7"/>
      <c r="M4" s="7"/>
      <c r="N4" s="7"/>
      <c r="O4" s="7"/>
      <c r="P4" s="7"/>
      <c r="Q4" s="7"/>
      <c r="R4" s="7"/>
      <c r="S4" s="7"/>
      <c r="T4" s="7"/>
      <c r="U4" s="7"/>
      <c r="V4" s="7"/>
      <c r="W4" s="7"/>
      <c r="X4" s="7"/>
    </row>
    <row r="5" spans="1:36" x14ac:dyDescent="0.3">
      <c r="A5" s="7"/>
      <c r="B5" s="11"/>
      <c r="C5" s="7"/>
      <c r="D5" s="7"/>
      <c r="E5" s="7"/>
      <c r="F5" s="7"/>
      <c r="G5" s="12"/>
      <c r="H5" s="7"/>
      <c r="I5" s="7"/>
      <c r="J5" s="7"/>
      <c r="K5" s="7"/>
      <c r="L5" s="7"/>
      <c r="M5" s="7"/>
      <c r="N5" s="7"/>
      <c r="O5" s="7"/>
      <c r="P5" s="7"/>
      <c r="Q5" s="7"/>
      <c r="R5" s="7"/>
      <c r="S5" s="7"/>
      <c r="T5" s="7"/>
      <c r="U5" s="7"/>
      <c r="V5" s="7"/>
      <c r="W5" s="7"/>
      <c r="X5" s="7"/>
    </row>
    <row r="6" spans="1:36" x14ac:dyDescent="0.3">
      <c r="A6" s="7"/>
      <c r="B6" s="11"/>
      <c r="C6" s="7"/>
      <c r="D6" s="7"/>
      <c r="E6" s="7"/>
      <c r="F6" s="7"/>
      <c r="G6" s="12"/>
      <c r="H6" s="7"/>
      <c r="I6" s="7"/>
      <c r="J6" s="7"/>
      <c r="K6" s="7"/>
      <c r="L6" s="7"/>
      <c r="M6" s="7"/>
      <c r="N6" s="7"/>
      <c r="O6" s="7"/>
      <c r="P6" s="7"/>
      <c r="Q6" s="7"/>
      <c r="R6" s="7"/>
      <c r="S6" s="7"/>
      <c r="T6" s="7"/>
      <c r="U6" s="7"/>
      <c r="V6" s="7"/>
      <c r="W6" s="7"/>
      <c r="X6" s="7"/>
    </row>
    <row r="7" spans="1:36" x14ac:dyDescent="0.3">
      <c r="A7" s="7"/>
      <c r="B7" s="11"/>
      <c r="C7" s="7"/>
      <c r="D7" s="7"/>
      <c r="E7" s="7"/>
      <c r="F7" s="7"/>
      <c r="G7" s="12"/>
      <c r="H7" s="7"/>
      <c r="I7" s="7"/>
      <c r="J7" s="7"/>
      <c r="K7" s="7"/>
      <c r="L7" s="7"/>
      <c r="M7" s="7"/>
      <c r="N7" s="7"/>
      <c r="O7" s="7"/>
      <c r="P7" s="7"/>
      <c r="Q7" s="7"/>
      <c r="R7" s="7"/>
      <c r="S7" s="7"/>
      <c r="T7" s="7"/>
      <c r="U7" s="7"/>
      <c r="V7" s="7"/>
      <c r="W7" s="7"/>
      <c r="X7" s="7"/>
    </row>
    <row r="8" spans="1:36" x14ac:dyDescent="0.3">
      <c r="A8" s="7"/>
      <c r="B8" s="11"/>
      <c r="C8" s="7"/>
      <c r="D8" s="7"/>
      <c r="E8" s="7"/>
      <c r="F8" s="7"/>
      <c r="G8" s="12"/>
      <c r="H8" s="7"/>
      <c r="I8" s="7"/>
      <c r="J8" s="7"/>
      <c r="K8" s="7"/>
      <c r="L8" s="7"/>
      <c r="M8" s="7"/>
      <c r="N8" s="7"/>
      <c r="O8" s="7"/>
      <c r="P8" s="7"/>
      <c r="Q8" s="7"/>
      <c r="R8" s="7"/>
      <c r="S8" s="7"/>
      <c r="T8" s="7"/>
      <c r="U8" s="7"/>
      <c r="V8" s="7"/>
      <c r="W8" s="7"/>
      <c r="X8" s="7"/>
    </row>
    <row r="9" spans="1:36" x14ac:dyDescent="0.3">
      <c r="A9" s="7"/>
      <c r="B9" s="11"/>
      <c r="C9" s="7"/>
      <c r="D9" s="7"/>
      <c r="E9" s="7"/>
      <c r="F9" s="7"/>
      <c r="G9" s="12"/>
      <c r="H9" s="7"/>
      <c r="I9" s="7"/>
      <c r="J9" s="7"/>
      <c r="K9" s="7"/>
      <c r="L9" s="7"/>
      <c r="M9" s="7"/>
      <c r="N9" s="7"/>
      <c r="O9" s="7"/>
      <c r="P9" s="7"/>
      <c r="Q9" s="7"/>
      <c r="R9" s="7"/>
      <c r="S9" s="7"/>
      <c r="T9" s="7"/>
      <c r="U9" s="7"/>
      <c r="V9" s="7"/>
      <c r="W9" s="7"/>
      <c r="X9" s="7"/>
    </row>
    <row r="10" spans="1:36" x14ac:dyDescent="0.3">
      <c r="A10" s="7"/>
      <c r="B10" s="11"/>
      <c r="C10" s="7"/>
      <c r="D10" s="7"/>
      <c r="E10" s="7"/>
      <c r="F10" s="7"/>
      <c r="G10" s="12"/>
      <c r="H10" s="7"/>
      <c r="I10" s="7"/>
      <c r="J10" s="7"/>
      <c r="K10" s="7"/>
      <c r="L10" s="7"/>
      <c r="M10" s="7"/>
      <c r="N10" s="7"/>
      <c r="O10" s="7"/>
      <c r="P10" s="7"/>
      <c r="Q10" s="7"/>
      <c r="R10" s="7"/>
      <c r="S10" s="7"/>
      <c r="T10" s="7"/>
      <c r="U10" s="7"/>
      <c r="V10" s="7"/>
      <c r="W10" s="7"/>
      <c r="X10" s="7"/>
    </row>
    <row r="11" spans="1:36" x14ac:dyDescent="0.3">
      <c r="A11" s="7"/>
      <c r="B11" s="11"/>
      <c r="C11" s="7"/>
      <c r="D11" s="7"/>
      <c r="E11" s="7"/>
      <c r="F11" s="7"/>
      <c r="G11" s="12"/>
      <c r="H11" s="7"/>
      <c r="I11" s="7"/>
      <c r="J11" s="7"/>
      <c r="K11" s="7"/>
      <c r="L11" s="7"/>
      <c r="M11" s="7"/>
      <c r="N11" s="7"/>
      <c r="O11" s="7"/>
      <c r="P11" s="7"/>
      <c r="Q11" s="7"/>
      <c r="R11" s="7"/>
      <c r="S11" s="7"/>
      <c r="T11" s="7"/>
      <c r="U11" s="7"/>
      <c r="V11" s="7"/>
      <c r="W11" s="7"/>
      <c r="X11" s="7"/>
    </row>
    <row r="12" spans="1:36" x14ac:dyDescent="0.3">
      <c r="A12" s="7"/>
      <c r="B12" s="13"/>
      <c r="C12" s="14"/>
      <c r="D12" s="14"/>
      <c r="E12" s="14"/>
      <c r="F12" s="14"/>
      <c r="G12" s="15"/>
      <c r="H12" s="7"/>
      <c r="I12" s="7"/>
      <c r="J12" s="7"/>
      <c r="K12" s="7"/>
      <c r="L12" s="7"/>
      <c r="M12" s="7"/>
      <c r="N12" s="7"/>
      <c r="O12" s="7"/>
      <c r="P12" s="7"/>
      <c r="Q12" s="7"/>
      <c r="R12" s="7"/>
      <c r="S12" s="7"/>
      <c r="T12" s="7"/>
      <c r="U12" s="7"/>
      <c r="V12" s="7"/>
      <c r="W12" s="7"/>
      <c r="X12" s="7"/>
    </row>
    <row r="13" spans="1:36" x14ac:dyDescent="0.3">
      <c r="A13" s="7"/>
      <c r="B13" s="7"/>
      <c r="C13" s="7"/>
      <c r="D13" s="7"/>
      <c r="E13" s="7"/>
      <c r="F13" s="7"/>
      <c r="G13" s="7"/>
      <c r="H13" s="7"/>
      <c r="I13" s="7"/>
      <c r="J13" s="7"/>
      <c r="K13" s="7"/>
      <c r="L13" s="7"/>
      <c r="M13" s="7"/>
      <c r="N13" s="7"/>
      <c r="O13" s="7"/>
      <c r="P13" s="7"/>
      <c r="Q13" s="7"/>
      <c r="R13" s="7"/>
      <c r="S13" s="7"/>
      <c r="T13" s="7"/>
      <c r="U13" s="7"/>
      <c r="V13" s="7"/>
      <c r="W13" s="7"/>
      <c r="X13" s="7"/>
    </row>
    <row r="14" spans="1:36" x14ac:dyDescent="0.3">
      <c r="A14" s="7"/>
      <c r="B14" s="7"/>
      <c r="C14" s="7"/>
      <c r="D14" s="7"/>
      <c r="E14" s="7"/>
      <c r="F14" s="7"/>
      <c r="G14" s="7"/>
      <c r="H14" s="7"/>
      <c r="I14" s="7"/>
      <c r="J14" s="14"/>
      <c r="K14" s="7"/>
      <c r="L14" s="7"/>
      <c r="M14" s="7"/>
      <c r="N14" s="7"/>
      <c r="O14" s="7"/>
      <c r="P14" s="7"/>
      <c r="Q14" s="7"/>
      <c r="R14" s="7"/>
      <c r="S14" s="7"/>
      <c r="T14" s="7"/>
      <c r="U14" s="7"/>
      <c r="V14" s="7"/>
      <c r="W14" s="7"/>
      <c r="X14" s="7"/>
    </row>
    <row r="15" spans="1:36" x14ac:dyDescent="0.3">
      <c r="A15" s="7"/>
      <c r="B15" s="7"/>
      <c r="C15" s="7"/>
      <c r="D15" s="7"/>
      <c r="E15" s="7"/>
      <c r="F15" s="7"/>
      <c r="G15" s="7"/>
      <c r="H15" s="7"/>
      <c r="I15" s="7"/>
      <c r="J15" s="7"/>
      <c r="K15" s="7"/>
      <c r="L15" s="7"/>
      <c r="M15" s="7"/>
      <c r="N15" s="7"/>
      <c r="O15" s="7"/>
      <c r="P15" s="7"/>
      <c r="Q15" s="7"/>
      <c r="R15" s="7"/>
      <c r="S15" s="7"/>
      <c r="T15" s="7"/>
      <c r="U15" s="7"/>
      <c r="V15" s="7"/>
      <c r="W15" s="7"/>
      <c r="X15" s="7"/>
    </row>
    <row r="16" spans="1:36"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sheetData>
  <mergeCells count="2">
    <mergeCell ref="A1:R1"/>
    <mergeCell ref="S1:AJ1"/>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0085-6BB1-46B2-8049-41899E4F7D45}">
  <dimension ref="A3:C14"/>
  <sheetViews>
    <sheetView workbookViewId="0">
      <selection activeCell="E15" sqref="E15"/>
    </sheetView>
  </sheetViews>
  <sheetFormatPr defaultRowHeight="14.4" x14ac:dyDescent="0.3"/>
  <cols>
    <col min="1" max="1" width="12.5546875" bestFit="1" customWidth="1"/>
    <col min="2" max="2" width="14.44140625" bestFit="1" customWidth="1"/>
    <col min="3" max="3" width="15.88671875" bestFit="1" customWidth="1"/>
  </cols>
  <sheetData>
    <row r="3" spans="1:3" x14ac:dyDescent="0.3">
      <c r="A3" s="5" t="s">
        <v>664</v>
      </c>
      <c r="B3" t="s">
        <v>663</v>
      </c>
      <c r="C3" t="s">
        <v>661</v>
      </c>
    </row>
    <row r="4" spans="1:3" x14ac:dyDescent="0.3">
      <c r="A4" s="6" t="s">
        <v>667</v>
      </c>
      <c r="B4">
        <v>40826</v>
      </c>
      <c r="C4">
        <v>26</v>
      </c>
    </row>
    <row r="5" spans="1:3" x14ac:dyDescent="0.3">
      <c r="A5" s="6" t="s">
        <v>668</v>
      </c>
      <c r="B5">
        <v>22638</v>
      </c>
      <c r="C5">
        <v>11</v>
      </c>
    </row>
    <row r="6" spans="1:3" x14ac:dyDescent="0.3">
      <c r="A6" s="6" t="s">
        <v>669</v>
      </c>
      <c r="B6">
        <v>26949</v>
      </c>
      <c r="C6">
        <v>14</v>
      </c>
    </row>
    <row r="7" spans="1:3" x14ac:dyDescent="0.3">
      <c r="A7" s="6" t="s">
        <v>670</v>
      </c>
      <c r="B7">
        <v>19320</v>
      </c>
      <c r="C7">
        <v>10</v>
      </c>
    </row>
    <row r="8" spans="1:3" x14ac:dyDescent="0.3">
      <c r="A8" s="6" t="s">
        <v>671</v>
      </c>
      <c r="B8">
        <v>17064</v>
      </c>
      <c r="C8">
        <v>10</v>
      </c>
    </row>
    <row r="9" spans="1:3" x14ac:dyDescent="0.3">
      <c r="A9" s="6" t="s">
        <v>672</v>
      </c>
      <c r="B9">
        <v>14145</v>
      </c>
      <c r="C9">
        <v>8</v>
      </c>
    </row>
    <row r="10" spans="1:3" x14ac:dyDescent="0.3">
      <c r="A10" s="6" t="s">
        <v>673</v>
      </c>
      <c r="B10">
        <v>26248</v>
      </c>
      <c r="C10">
        <v>16</v>
      </c>
    </row>
    <row r="11" spans="1:3" x14ac:dyDescent="0.3">
      <c r="A11" s="6" t="s">
        <v>674</v>
      </c>
      <c r="B11">
        <v>21209</v>
      </c>
      <c r="C11">
        <v>12</v>
      </c>
    </row>
    <row r="12" spans="1:3" x14ac:dyDescent="0.3">
      <c r="A12" s="6" t="s">
        <v>675</v>
      </c>
      <c r="B12">
        <v>57428</v>
      </c>
      <c r="C12">
        <v>33</v>
      </c>
    </row>
    <row r="13" spans="1:3" x14ac:dyDescent="0.3">
      <c r="A13" s="6" t="s">
        <v>665</v>
      </c>
      <c r="B13">
        <v>77727</v>
      </c>
      <c r="C13">
        <v>45</v>
      </c>
    </row>
    <row r="14" spans="1:3" x14ac:dyDescent="0.3">
      <c r="A14" s="6" t="s">
        <v>666</v>
      </c>
      <c r="B14">
        <v>26324</v>
      </c>
      <c r="C14">
        <v>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3213D-E4FC-4780-8130-E175313D64C9}">
  <dimension ref="A3:B5"/>
  <sheetViews>
    <sheetView workbookViewId="0">
      <selection activeCell="N15" sqref="N15"/>
    </sheetView>
  </sheetViews>
  <sheetFormatPr defaultRowHeight="14.4" x14ac:dyDescent="0.3"/>
  <cols>
    <col min="1" max="1" width="12.5546875" bestFit="1" customWidth="1"/>
    <col min="2" max="2" width="14.44140625" bestFit="1" customWidth="1"/>
  </cols>
  <sheetData>
    <row r="3" spans="1:2" x14ac:dyDescent="0.3">
      <c r="A3" s="5" t="s">
        <v>664</v>
      </c>
      <c r="B3" t="s">
        <v>663</v>
      </c>
    </row>
    <row r="4" spans="1:2" x14ac:dyDescent="0.3">
      <c r="A4" s="6" t="s">
        <v>205</v>
      </c>
      <c r="B4">
        <v>70754</v>
      </c>
    </row>
    <row r="5" spans="1:2" x14ac:dyDescent="0.3">
      <c r="A5" s="6" t="s">
        <v>204</v>
      </c>
      <c r="B5">
        <v>279124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3636-5CC9-4F56-A42C-FE775C460228}">
  <dimension ref="A3:B7"/>
  <sheetViews>
    <sheetView workbookViewId="0">
      <selection activeCell="J24" sqref="J24"/>
    </sheetView>
  </sheetViews>
  <sheetFormatPr defaultRowHeight="14.4" x14ac:dyDescent="0.3"/>
  <cols>
    <col min="1" max="1" width="12.5546875" bestFit="1" customWidth="1"/>
    <col min="2" max="2" width="15.88671875" bestFit="1" customWidth="1"/>
  </cols>
  <sheetData>
    <row r="3" spans="1:2" x14ac:dyDescent="0.3">
      <c r="A3" s="5" t="s">
        <v>664</v>
      </c>
      <c r="B3" t="s">
        <v>661</v>
      </c>
    </row>
    <row r="4" spans="1:2" x14ac:dyDescent="0.3">
      <c r="A4" s="6" t="s">
        <v>210</v>
      </c>
      <c r="B4">
        <v>20</v>
      </c>
    </row>
    <row r="5" spans="1:2" x14ac:dyDescent="0.3">
      <c r="A5" s="6" t="s">
        <v>209</v>
      </c>
      <c r="B5">
        <v>152</v>
      </c>
    </row>
    <row r="6" spans="1:2" x14ac:dyDescent="0.3">
      <c r="A6" s="6" t="s">
        <v>211</v>
      </c>
      <c r="B6">
        <v>20</v>
      </c>
    </row>
    <row r="7" spans="1:2" x14ac:dyDescent="0.3">
      <c r="A7" s="6" t="s">
        <v>678</v>
      </c>
      <c r="B7">
        <v>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5DBA-23EE-41DD-9136-09612E82994D}">
  <dimension ref="A3:B8"/>
  <sheetViews>
    <sheetView topLeftCell="A7" zoomScale="85" zoomScaleNormal="85" workbookViewId="0">
      <selection activeCell="A6" sqref="A6"/>
    </sheetView>
  </sheetViews>
  <sheetFormatPr defaultRowHeight="14.4" x14ac:dyDescent="0.3"/>
  <cols>
    <col min="1" max="2" width="15.109375" bestFit="1" customWidth="1"/>
  </cols>
  <sheetData>
    <row r="3" spans="1:2" x14ac:dyDescent="0.3">
      <c r="A3" s="5" t="s">
        <v>664</v>
      </c>
      <c r="B3" t="s">
        <v>663</v>
      </c>
    </row>
    <row r="4" spans="1:2" x14ac:dyDescent="0.3">
      <c r="A4" s="6" t="s">
        <v>639</v>
      </c>
      <c r="B4">
        <v>20999</v>
      </c>
    </row>
    <row r="5" spans="1:2" x14ac:dyDescent="0.3">
      <c r="A5" s="6" t="s">
        <v>646</v>
      </c>
      <c r="B5">
        <v>21419</v>
      </c>
    </row>
    <row r="6" spans="1:2" x14ac:dyDescent="0.3">
      <c r="A6" s="6" t="s">
        <v>638</v>
      </c>
      <c r="B6">
        <v>19844</v>
      </c>
    </row>
    <row r="7" spans="1:2" x14ac:dyDescent="0.3">
      <c r="A7" s="6" t="s">
        <v>648</v>
      </c>
      <c r="B7">
        <v>19695</v>
      </c>
    </row>
    <row r="8" spans="1:2" x14ac:dyDescent="0.3">
      <c r="A8" s="6" t="s">
        <v>642</v>
      </c>
      <c r="B8">
        <v>20670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2AA5-AE33-47A8-A20C-06EC78313428}">
  <dimension ref="A3:C7"/>
  <sheetViews>
    <sheetView workbookViewId="0">
      <selection activeCell="N13" sqref="N13"/>
    </sheetView>
  </sheetViews>
  <sheetFormatPr defaultRowHeight="14.4" x14ac:dyDescent="0.3"/>
  <cols>
    <col min="1" max="1" width="15.88671875" bestFit="1" customWidth="1"/>
    <col min="2" max="2" width="15.5546875" bestFit="1" customWidth="1"/>
    <col min="3" max="3" width="7.6640625" bestFit="1" customWidth="1"/>
    <col min="4" max="4" width="10.77734375" bestFit="1" customWidth="1"/>
  </cols>
  <sheetData>
    <row r="3" spans="1:3" x14ac:dyDescent="0.3">
      <c r="A3" s="5" t="s">
        <v>661</v>
      </c>
      <c r="B3" s="5" t="s">
        <v>682</v>
      </c>
    </row>
    <row r="4" spans="1:3" x14ac:dyDescent="0.3">
      <c r="A4" s="5" t="s">
        <v>664</v>
      </c>
      <c r="B4" t="s">
        <v>205</v>
      </c>
      <c r="C4" t="s">
        <v>204</v>
      </c>
    </row>
    <row r="5" spans="1:3" x14ac:dyDescent="0.3">
      <c r="A5" s="6" t="s">
        <v>679</v>
      </c>
      <c r="B5" s="16">
        <v>0.14499999999999999</v>
      </c>
      <c r="C5" s="16">
        <v>0.53500000000000003</v>
      </c>
    </row>
    <row r="6" spans="1:3" x14ac:dyDescent="0.3">
      <c r="A6" s="6" t="s">
        <v>680</v>
      </c>
      <c r="B6" s="16">
        <v>0.01</v>
      </c>
      <c r="C6" s="16">
        <v>4.4999999999999998E-2</v>
      </c>
    </row>
    <row r="7" spans="1:3" x14ac:dyDescent="0.3">
      <c r="A7" s="6" t="s">
        <v>681</v>
      </c>
      <c r="B7" s="16">
        <v>5.5E-2</v>
      </c>
      <c r="C7" s="16">
        <v>0.21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12CD-A658-4172-859D-8679AC5F6092}">
  <dimension ref="A3:B9"/>
  <sheetViews>
    <sheetView workbookViewId="0">
      <selection activeCell="N14" sqref="N14"/>
    </sheetView>
  </sheetViews>
  <sheetFormatPr defaultRowHeight="14.4" x14ac:dyDescent="0.3"/>
  <cols>
    <col min="1" max="1" width="12.5546875" bestFit="1" customWidth="1"/>
    <col min="2" max="2" width="15.88671875" bestFit="1" customWidth="1"/>
  </cols>
  <sheetData>
    <row r="3" spans="1:2" x14ac:dyDescent="0.3">
      <c r="A3" s="5" t="s">
        <v>664</v>
      </c>
      <c r="B3" t="s">
        <v>661</v>
      </c>
    </row>
    <row r="4" spans="1:2" x14ac:dyDescent="0.3">
      <c r="A4" s="6" t="s">
        <v>215</v>
      </c>
      <c r="B4" s="17">
        <v>0.155</v>
      </c>
    </row>
    <row r="5" spans="1:2" x14ac:dyDescent="0.3">
      <c r="A5" s="6" t="s">
        <v>213</v>
      </c>
      <c r="B5" s="17">
        <v>0.23499999999999999</v>
      </c>
    </row>
    <row r="6" spans="1:2" x14ac:dyDescent="0.3">
      <c r="A6" s="6" t="s">
        <v>214</v>
      </c>
      <c r="B6" s="17">
        <v>0.155</v>
      </c>
    </row>
    <row r="7" spans="1:2" x14ac:dyDescent="0.3">
      <c r="A7" s="6" t="s">
        <v>217</v>
      </c>
      <c r="B7" s="17">
        <v>0.15</v>
      </c>
    </row>
    <row r="8" spans="1:2" x14ac:dyDescent="0.3">
      <c r="A8" s="6" t="s">
        <v>216</v>
      </c>
      <c r="B8" s="17">
        <v>0.155</v>
      </c>
    </row>
    <row r="9" spans="1:2" x14ac:dyDescent="0.3">
      <c r="A9" s="6" t="s">
        <v>218</v>
      </c>
      <c r="B9" s="17">
        <v>0.15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EA71-D079-4BD2-9CC1-1DA86AA42984}">
  <dimension ref="A1:S201"/>
  <sheetViews>
    <sheetView zoomScale="110" zoomScaleNormal="110" workbookViewId="0">
      <selection activeCell="I3" sqref="I3"/>
    </sheetView>
  </sheetViews>
  <sheetFormatPr defaultRowHeight="14.4" x14ac:dyDescent="0.3"/>
  <cols>
    <col min="1" max="1" width="5.5546875" bestFit="1" customWidth="1"/>
    <col min="2" max="2" width="19.5546875" bestFit="1" customWidth="1"/>
    <col min="3" max="3" width="8" bestFit="1" customWidth="1"/>
    <col min="5" max="5" width="4.88671875" customWidth="1"/>
    <col min="6" max="6" width="11.5546875" customWidth="1"/>
    <col min="7" max="7" width="11.44140625" customWidth="1"/>
    <col min="8" max="8" width="8.33203125" customWidth="1"/>
    <col min="11" max="11" width="25.109375" bestFit="1" customWidth="1"/>
    <col min="12" max="12" width="13.33203125" bestFit="1" customWidth="1"/>
    <col min="15" max="15" width="10" customWidth="1"/>
    <col min="16" max="16" width="19.109375" bestFit="1" customWidth="1"/>
    <col min="17" max="17" width="16.109375" bestFit="1" customWidth="1"/>
    <col min="18" max="18" width="15.109375" bestFit="1" customWidth="1"/>
  </cols>
  <sheetData>
    <row r="1" spans="1:19" x14ac:dyDescent="0.3">
      <c r="A1" s="3" t="s">
        <v>0</v>
      </c>
      <c r="B1" s="4" t="s">
        <v>1</v>
      </c>
      <c r="C1" s="3" t="s">
        <v>202</v>
      </c>
      <c r="D1" s="3" t="s">
        <v>203</v>
      </c>
      <c r="E1" s="3" t="s">
        <v>206</v>
      </c>
      <c r="F1" s="3" t="s">
        <v>659</v>
      </c>
      <c r="G1" s="3" t="s">
        <v>207</v>
      </c>
      <c r="H1" s="3" t="s">
        <v>660</v>
      </c>
      <c r="I1" s="3" t="s">
        <v>208</v>
      </c>
      <c r="J1" s="3" t="s">
        <v>212</v>
      </c>
      <c r="K1" s="4" t="s">
        <v>219</v>
      </c>
      <c r="L1" s="3" t="s">
        <v>420</v>
      </c>
      <c r="M1" s="3" t="s">
        <v>429</v>
      </c>
      <c r="N1" s="3" t="s">
        <v>440</v>
      </c>
      <c r="O1" s="3" t="s">
        <v>662</v>
      </c>
      <c r="P1" s="3" t="s">
        <v>636</v>
      </c>
      <c r="Q1" s="3" t="s">
        <v>637</v>
      </c>
      <c r="R1" s="3" t="s">
        <v>657</v>
      </c>
      <c r="S1" s="3" t="s">
        <v>658</v>
      </c>
    </row>
    <row r="2" spans="1:19" x14ac:dyDescent="0.3">
      <c r="A2" s="1" cm="1">
        <f t="array" ref="A2:A201">_xlfn.SEQUENCE(200)</f>
        <v>1</v>
      </c>
      <c r="B2" s="1" t="s">
        <v>2</v>
      </c>
      <c r="C2" s="1">
        <v>3918572</v>
      </c>
      <c r="D2" s="1" t="s">
        <v>204</v>
      </c>
      <c r="E2" s="1">
        <v>50</v>
      </c>
      <c r="F2" s="1" t="str">
        <f>IF(E2&gt;=50,"Senior",IF(E2&gt;=30,"Adult","Teenager"))</f>
        <v>Senior</v>
      </c>
      <c r="G2" s="2">
        <v>44565</v>
      </c>
      <c r="H2" s="2" t="str">
        <f>TEXT(G2,"mmm")</f>
        <v>Jan</v>
      </c>
      <c r="I2" s="1" t="s">
        <v>209</v>
      </c>
      <c r="J2" s="1" t="s">
        <v>213</v>
      </c>
      <c r="K2" s="1" t="s">
        <v>220</v>
      </c>
      <c r="L2" s="1" t="s">
        <v>421</v>
      </c>
      <c r="M2" s="1" t="s">
        <v>430</v>
      </c>
      <c r="N2" s="1">
        <v>1</v>
      </c>
      <c r="O2" s="1">
        <v>325</v>
      </c>
      <c r="P2" s="1" t="s">
        <v>441</v>
      </c>
      <c r="Q2" s="1" t="s">
        <v>638</v>
      </c>
      <c r="R2" s="1">
        <v>110001</v>
      </c>
      <c r="S2" s="1" t="b">
        <v>1</v>
      </c>
    </row>
    <row r="3" spans="1:19" x14ac:dyDescent="0.3">
      <c r="A3" s="1">
        <v>2</v>
      </c>
      <c r="B3" s="1" t="s">
        <v>3</v>
      </c>
      <c r="C3" s="1">
        <v>2049381</v>
      </c>
      <c r="D3" s="1" t="s">
        <v>204</v>
      </c>
      <c r="E3" s="1">
        <v>50</v>
      </c>
      <c r="F3" s="1" t="str">
        <f t="shared" ref="F3:F66" si="0">IF(E3&gt;=50,"Senior",IF(E3&gt;=30,"Adult","Teenager"))</f>
        <v>Senior</v>
      </c>
      <c r="G3" s="2">
        <v>44566</v>
      </c>
      <c r="H3" s="2" t="str">
        <f t="shared" ref="H3:H66" si="1">TEXT(G3,"mmm")</f>
        <v>Jan</v>
      </c>
      <c r="I3" s="1" t="s">
        <v>209</v>
      </c>
      <c r="J3" s="1" t="s">
        <v>214</v>
      </c>
      <c r="K3" s="1" t="s">
        <v>221</v>
      </c>
      <c r="L3" s="1" t="s">
        <v>422</v>
      </c>
      <c r="M3" s="1" t="s">
        <v>431</v>
      </c>
      <c r="N3" s="1">
        <v>1</v>
      </c>
      <c r="O3" s="1">
        <v>1499</v>
      </c>
      <c r="P3" s="1" t="s">
        <v>442</v>
      </c>
      <c r="Q3" s="1" t="s">
        <v>441</v>
      </c>
      <c r="R3" s="1">
        <v>110002</v>
      </c>
      <c r="S3" s="1" t="b">
        <v>0</v>
      </c>
    </row>
    <row r="4" spans="1:19" x14ac:dyDescent="0.3">
      <c r="A4" s="1">
        <v>3</v>
      </c>
      <c r="B4" s="1" t="s">
        <v>4</v>
      </c>
      <c r="C4" s="1">
        <v>5820473</v>
      </c>
      <c r="D4" s="1" t="s">
        <v>205</v>
      </c>
      <c r="E4" s="1">
        <v>50</v>
      </c>
      <c r="F4" s="1" t="str">
        <f t="shared" si="0"/>
        <v>Senior</v>
      </c>
      <c r="G4" s="2">
        <v>44567</v>
      </c>
      <c r="H4" s="2" t="str">
        <f t="shared" si="1"/>
        <v>Jan</v>
      </c>
      <c r="I4" s="1" t="s">
        <v>209</v>
      </c>
      <c r="J4" s="1" t="s">
        <v>215</v>
      </c>
      <c r="K4" s="1" t="s">
        <v>222</v>
      </c>
      <c r="L4" s="1" t="s">
        <v>423</v>
      </c>
      <c r="M4" s="1" t="s">
        <v>432</v>
      </c>
      <c r="N4" s="1">
        <v>1</v>
      </c>
      <c r="O4" s="1">
        <v>2875</v>
      </c>
      <c r="P4" s="1" t="s">
        <v>443</v>
      </c>
      <c r="Q4" s="1" t="s">
        <v>639</v>
      </c>
      <c r="R4" s="1">
        <v>110003</v>
      </c>
      <c r="S4" s="1" t="b">
        <v>1</v>
      </c>
    </row>
    <row r="5" spans="1:19" x14ac:dyDescent="0.3">
      <c r="A5" s="1">
        <v>4</v>
      </c>
      <c r="B5" s="1" t="s">
        <v>5</v>
      </c>
      <c r="C5" s="1">
        <v>7031924</v>
      </c>
      <c r="D5" s="1" t="s">
        <v>204</v>
      </c>
      <c r="E5" s="1">
        <v>70</v>
      </c>
      <c r="F5" s="1" t="str">
        <f t="shared" si="0"/>
        <v>Senior</v>
      </c>
      <c r="G5" s="2">
        <v>44568</v>
      </c>
      <c r="H5" s="2" t="str">
        <f t="shared" si="1"/>
        <v>Jan</v>
      </c>
      <c r="I5" s="1" t="s">
        <v>209</v>
      </c>
      <c r="J5" s="1" t="s">
        <v>216</v>
      </c>
      <c r="K5" s="1" t="s">
        <v>223</v>
      </c>
      <c r="L5" s="1" t="s">
        <v>424</v>
      </c>
      <c r="M5" s="1" t="s">
        <v>433</v>
      </c>
      <c r="N5" s="1">
        <v>1</v>
      </c>
      <c r="O5" s="1">
        <v>410</v>
      </c>
      <c r="P5" s="1" t="s">
        <v>444</v>
      </c>
      <c r="Q5" s="1" t="s">
        <v>640</v>
      </c>
      <c r="R5" s="1">
        <v>110004</v>
      </c>
      <c r="S5" s="1" t="b">
        <v>1</v>
      </c>
    </row>
    <row r="6" spans="1:19" x14ac:dyDescent="0.3">
      <c r="A6" s="1">
        <v>5</v>
      </c>
      <c r="B6" s="1" t="s">
        <v>6</v>
      </c>
      <c r="C6" s="1">
        <v>8194720</v>
      </c>
      <c r="D6" s="1" t="s">
        <v>204</v>
      </c>
      <c r="E6" s="1">
        <v>50</v>
      </c>
      <c r="F6" s="1" t="str">
        <f t="shared" si="0"/>
        <v>Senior</v>
      </c>
      <c r="G6" s="2">
        <v>44569</v>
      </c>
      <c r="H6" s="2" t="str">
        <f t="shared" si="1"/>
        <v>Jan</v>
      </c>
      <c r="I6" s="1" t="s">
        <v>209</v>
      </c>
      <c r="J6" s="1" t="s">
        <v>217</v>
      </c>
      <c r="K6" s="1" t="s">
        <v>224</v>
      </c>
      <c r="L6" s="1" t="s">
        <v>425</v>
      </c>
      <c r="M6" s="1" t="s">
        <v>434</v>
      </c>
      <c r="N6" s="1">
        <v>1</v>
      </c>
      <c r="O6" s="1">
        <v>199</v>
      </c>
      <c r="P6" s="1" t="s">
        <v>445</v>
      </c>
      <c r="Q6" s="1" t="s">
        <v>641</v>
      </c>
      <c r="R6" s="1">
        <v>110005</v>
      </c>
      <c r="S6" s="1" t="b">
        <v>0</v>
      </c>
    </row>
    <row r="7" spans="1:19" x14ac:dyDescent="0.3">
      <c r="A7" s="1">
        <v>6</v>
      </c>
      <c r="B7" s="1" t="s">
        <v>7</v>
      </c>
      <c r="C7" s="1">
        <v>6253849</v>
      </c>
      <c r="D7" s="1" t="s">
        <v>204</v>
      </c>
      <c r="E7" s="1">
        <v>60</v>
      </c>
      <c r="F7" s="1" t="str">
        <f t="shared" si="0"/>
        <v>Senior</v>
      </c>
      <c r="G7" s="2">
        <v>44570</v>
      </c>
      <c r="H7" s="2" t="str">
        <f t="shared" si="1"/>
        <v>Jan</v>
      </c>
      <c r="I7" s="1" t="s">
        <v>209</v>
      </c>
      <c r="J7" s="1" t="s">
        <v>213</v>
      </c>
      <c r="K7" s="1" t="s">
        <v>225</v>
      </c>
      <c r="L7" s="1" t="s">
        <v>426</v>
      </c>
      <c r="M7" s="1" t="s">
        <v>435</v>
      </c>
      <c r="N7" s="1">
        <v>1</v>
      </c>
      <c r="O7" s="1">
        <v>1780</v>
      </c>
      <c r="P7" s="1" t="s">
        <v>446</v>
      </c>
      <c r="Q7" s="1" t="s">
        <v>642</v>
      </c>
      <c r="R7" s="1">
        <v>110006</v>
      </c>
      <c r="S7" s="1" t="b">
        <v>1</v>
      </c>
    </row>
    <row r="8" spans="1:19" x14ac:dyDescent="0.3">
      <c r="A8" s="1">
        <v>7</v>
      </c>
      <c r="B8" s="1" t="s">
        <v>8</v>
      </c>
      <c r="C8" s="1">
        <v>4905823</v>
      </c>
      <c r="D8" s="1" t="s">
        <v>205</v>
      </c>
      <c r="E8" s="1">
        <v>50</v>
      </c>
      <c r="F8" s="1" t="str">
        <f t="shared" si="0"/>
        <v>Senior</v>
      </c>
      <c r="G8" s="2">
        <v>44571</v>
      </c>
      <c r="H8" s="2" t="str">
        <f t="shared" si="1"/>
        <v>Jan</v>
      </c>
      <c r="I8" s="1" t="s">
        <v>209</v>
      </c>
      <c r="J8" s="1" t="s">
        <v>218</v>
      </c>
      <c r="K8" s="1" t="s">
        <v>226</v>
      </c>
      <c r="L8" s="1" t="s">
        <v>427</v>
      </c>
      <c r="M8" s="1" t="s">
        <v>436</v>
      </c>
      <c r="N8" s="1">
        <v>1</v>
      </c>
      <c r="O8" s="1">
        <v>2550</v>
      </c>
      <c r="P8" s="1" t="s">
        <v>447</v>
      </c>
      <c r="Q8" s="1" t="s">
        <v>643</v>
      </c>
      <c r="R8" s="1">
        <v>110007</v>
      </c>
      <c r="S8" s="1" t="b">
        <v>0</v>
      </c>
    </row>
    <row r="9" spans="1:19" x14ac:dyDescent="0.3">
      <c r="A9" s="1">
        <v>8</v>
      </c>
      <c r="B9" s="1" t="s">
        <v>9</v>
      </c>
      <c r="C9" s="1">
        <v>7319482</v>
      </c>
      <c r="D9" s="1" t="s">
        <v>204</v>
      </c>
      <c r="E9" s="1">
        <v>33</v>
      </c>
      <c r="F9" s="1" t="str">
        <f t="shared" si="0"/>
        <v>Adult</v>
      </c>
      <c r="G9" s="2">
        <v>44565</v>
      </c>
      <c r="H9" s="2" t="str">
        <f t="shared" si="1"/>
        <v>Jan</v>
      </c>
      <c r="I9" s="1" t="s">
        <v>209</v>
      </c>
      <c r="J9" s="1" t="s">
        <v>214</v>
      </c>
      <c r="K9" s="1" t="s">
        <v>227</v>
      </c>
      <c r="L9" s="1" t="s">
        <v>428</v>
      </c>
      <c r="M9" s="1" t="s">
        <v>437</v>
      </c>
      <c r="N9" s="1">
        <v>1</v>
      </c>
      <c r="O9" s="1">
        <v>499</v>
      </c>
      <c r="P9" s="1" t="s">
        <v>448</v>
      </c>
      <c r="Q9" s="1" t="s">
        <v>644</v>
      </c>
      <c r="R9" s="1">
        <v>110008</v>
      </c>
      <c r="S9" s="1" t="b">
        <v>0</v>
      </c>
    </row>
    <row r="10" spans="1:19" x14ac:dyDescent="0.3">
      <c r="A10" s="1">
        <v>9</v>
      </c>
      <c r="B10" s="1" t="s">
        <v>10</v>
      </c>
      <c r="C10" s="1">
        <v>2859031</v>
      </c>
      <c r="D10" s="1" t="s">
        <v>204</v>
      </c>
      <c r="E10" s="1">
        <v>26</v>
      </c>
      <c r="F10" s="1" t="str">
        <f t="shared" si="0"/>
        <v>Teenager</v>
      </c>
      <c r="G10" s="2">
        <v>44566</v>
      </c>
      <c r="H10" s="2" t="str">
        <f t="shared" si="1"/>
        <v>Jan</v>
      </c>
      <c r="I10" s="1" t="s">
        <v>210</v>
      </c>
      <c r="J10" s="1" t="s">
        <v>215</v>
      </c>
      <c r="K10" s="1" t="s">
        <v>228</v>
      </c>
      <c r="L10" s="1" t="s">
        <v>421</v>
      </c>
      <c r="M10" s="1" t="s">
        <v>438</v>
      </c>
      <c r="N10" s="1">
        <v>1</v>
      </c>
      <c r="O10" s="1">
        <v>360</v>
      </c>
      <c r="P10" s="1" t="s">
        <v>449</v>
      </c>
      <c r="Q10" s="1" t="s">
        <v>645</v>
      </c>
      <c r="R10" s="1">
        <v>110009</v>
      </c>
      <c r="S10" s="1" t="b">
        <v>1</v>
      </c>
    </row>
    <row r="11" spans="1:19" x14ac:dyDescent="0.3">
      <c r="A11" s="1">
        <v>10</v>
      </c>
      <c r="B11" s="1" t="s">
        <v>11</v>
      </c>
      <c r="C11" s="1">
        <v>3641927</v>
      </c>
      <c r="D11" s="1" t="s">
        <v>204</v>
      </c>
      <c r="E11" s="1">
        <v>39</v>
      </c>
      <c r="F11" s="1" t="str">
        <f t="shared" si="0"/>
        <v>Adult</v>
      </c>
      <c r="G11" s="2">
        <v>44567</v>
      </c>
      <c r="H11" s="2" t="str">
        <f t="shared" si="1"/>
        <v>Jan</v>
      </c>
      <c r="I11" s="1" t="s">
        <v>209</v>
      </c>
      <c r="J11" s="1" t="s">
        <v>213</v>
      </c>
      <c r="K11" s="1" t="s">
        <v>229</v>
      </c>
      <c r="L11" s="1" t="s">
        <v>422</v>
      </c>
      <c r="M11" s="1" t="s">
        <v>430</v>
      </c>
      <c r="N11" s="1">
        <v>2</v>
      </c>
      <c r="O11" s="1">
        <v>4250</v>
      </c>
      <c r="P11" s="1" t="s">
        <v>450</v>
      </c>
      <c r="Q11" s="1" t="s">
        <v>646</v>
      </c>
      <c r="R11" s="1">
        <v>110010</v>
      </c>
      <c r="S11" s="1" t="b">
        <v>0</v>
      </c>
    </row>
    <row r="12" spans="1:19" x14ac:dyDescent="0.3">
      <c r="A12" s="1">
        <v>11</v>
      </c>
      <c r="B12" s="1" t="s">
        <v>12</v>
      </c>
      <c r="C12" s="1">
        <v>9182740</v>
      </c>
      <c r="D12" s="1" t="s">
        <v>205</v>
      </c>
      <c r="E12" s="1">
        <v>31</v>
      </c>
      <c r="F12" s="1" t="str">
        <f t="shared" si="0"/>
        <v>Adult</v>
      </c>
      <c r="G12" s="2">
        <v>44568</v>
      </c>
      <c r="H12" s="2" t="str">
        <f t="shared" si="1"/>
        <v>Jan</v>
      </c>
      <c r="I12" s="1" t="s">
        <v>209</v>
      </c>
      <c r="J12" s="1" t="s">
        <v>216</v>
      </c>
      <c r="K12" s="1" t="s">
        <v>230</v>
      </c>
      <c r="L12" s="1" t="s">
        <v>423</v>
      </c>
      <c r="M12" s="1" t="s">
        <v>431</v>
      </c>
      <c r="N12" s="1">
        <v>3</v>
      </c>
      <c r="O12" s="1">
        <v>310</v>
      </c>
      <c r="P12" s="1" t="s">
        <v>451</v>
      </c>
      <c r="Q12" s="1" t="s">
        <v>647</v>
      </c>
      <c r="R12" s="1">
        <v>120001</v>
      </c>
      <c r="S12" s="1" t="b">
        <v>1</v>
      </c>
    </row>
    <row r="13" spans="1:19" x14ac:dyDescent="0.3">
      <c r="A13" s="1">
        <v>12</v>
      </c>
      <c r="B13" s="1" t="s">
        <v>13</v>
      </c>
      <c r="C13" s="1">
        <v>5738204</v>
      </c>
      <c r="D13" s="1" t="s">
        <v>204</v>
      </c>
      <c r="E13" s="1">
        <v>45</v>
      </c>
      <c r="F13" s="1" t="str">
        <f t="shared" si="0"/>
        <v>Adult</v>
      </c>
      <c r="G13" s="2">
        <v>44569</v>
      </c>
      <c r="H13" s="2" t="str">
        <f t="shared" si="1"/>
        <v>Jan</v>
      </c>
      <c r="I13" s="1" t="s">
        <v>209</v>
      </c>
      <c r="J13" s="1" t="s">
        <v>217</v>
      </c>
      <c r="K13" s="1" t="s">
        <v>231</v>
      </c>
      <c r="L13" s="1" t="s">
        <v>424</v>
      </c>
      <c r="M13" s="1" t="s">
        <v>432</v>
      </c>
      <c r="N13" s="1">
        <v>4</v>
      </c>
      <c r="O13" s="1">
        <v>1520</v>
      </c>
      <c r="P13" s="1" t="s">
        <v>452</v>
      </c>
      <c r="Q13" s="1" t="s">
        <v>648</v>
      </c>
      <c r="R13" s="1">
        <v>120002</v>
      </c>
      <c r="S13" s="1" t="b">
        <v>0</v>
      </c>
    </row>
    <row r="14" spans="1:19" x14ac:dyDescent="0.3">
      <c r="A14" s="1">
        <v>13</v>
      </c>
      <c r="B14" s="1" t="s">
        <v>14</v>
      </c>
      <c r="C14" s="1">
        <v>4803921</v>
      </c>
      <c r="D14" s="1" t="s">
        <v>204</v>
      </c>
      <c r="E14" s="1">
        <v>27</v>
      </c>
      <c r="F14" s="1" t="str">
        <f t="shared" si="0"/>
        <v>Teenager</v>
      </c>
      <c r="G14" s="2">
        <v>44595</v>
      </c>
      <c r="H14" s="2" t="str">
        <f t="shared" si="1"/>
        <v>Feb</v>
      </c>
      <c r="I14" s="1" t="s">
        <v>211</v>
      </c>
      <c r="J14" s="1" t="s">
        <v>213</v>
      </c>
      <c r="K14" s="1" t="s">
        <v>232</v>
      </c>
      <c r="L14" s="1" t="s">
        <v>425</v>
      </c>
      <c r="M14" s="1" t="s">
        <v>433</v>
      </c>
      <c r="N14" s="1">
        <v>5</v>
      </c>
      <c r="O14" s="1">
        <v>2780</v>
      </c>
      <c r="P14" s="1" t="s">
        <v>453</v>
      </c>
      <c r="Q14" s="1" t="s">
        <v>649</v>
      </c>
      <c r="R14" s="1">
        <v>120003</v>
      </c>
      <c r="S14" s="1" t="b">
        <v>1</v>
      </c>
    </row>
    <row r="15" spans="1:19" x14ac:dyDescent="0.3">
      <c r="A15" s="1">
        <v>14</v>
      </c>
      <c r="B15" s="1" t="s">
        <v>15</v>
      </c>
      <c r="C15" s="1">
        <v>6192837</v>
      </c>
      <c r="D15" s="1" t="s">
        <v>204</v>
      </c>
      <c r="E15" s="1">
        <v>30</v>
      </c>
      <c r="F15" s="1" t="str">
        <f t="shared" si="0"/>
        <v>Adult</v>
      </c>
      <c r="G15" s="2">
        <v>44596</v>
      </c>
      <c r="H15" s="2" t="str">
        <f t="shared" si="1"/>
        <v>Feb</v>
      </c>
      <c r="I15" s="1" t="s">
        <v>209</v>
      </c>
      <c r="J15" s="1" t="s">
        <v>218</v>
      </c>
      <c r="K15" s="1" t="s">
        <v>233</v>
      </c>
      <c r="L15" s="1" t="s">
        <v>426</v>
      </c>
      <c r="M15" s="1" t="s">
        <v>434</v>
      </c>
      <c r="N15" s="1">
        <v>1</v>
      </c>
      <c r="O15" s="1">
        <v>495</v>
      </c>
      <c r="P15" s="1" t="s">
        <v>454</v>
      </c>
      <c r="Q15" s="1" t="s">
        <v>650</v>
      </c>
      <c r="R15" s="1">
        <v>120004</v>
      </c>
      <c r="S15" s="1" t="b">
        <v>0</v>
      </c>
    </row>
    <row r="16" spans="1:19" x14ac:dyDescent="0.3">
      <c r="A16" s="1">
        <v>15</v>
      </c>
      <c r="B16" s="1" t="s">
        <v>16</v>
      </c>
      <c r="C16" s="1">
        <v>7345918</v>
      </c>
      <c r="D16" s="1" t="s">
        <v>205</v>
      </c>
      <c r="E16" s="1">
        <v>36</v>
      </c>
      <c r="F16" s="1" t="str">
        <f t="shared" si="0"/>
        <v>Adult</v>
      </c>
      <c r="G16" s="2">
        <v>44597</v>
      </c>
      <c r="H16" s="2" t="str">
        <f t="shared" si="1"/>
        <v>Feb</v>
      </c>
      <c r="I16" s="1" t="s">
        <v>209</v>
      </c>
      <c r="J16" s="1" t="s">
        <v>214</v>
      </c>
      <c r="K16" s="1" t="s">
        <v>234</v>
      </c>
      <c r="L16" s="1" t="s">
        <v>427</v>
      </c>
      <c r="M16" s="1" t="s">
        <v>435</v>
      </c>
      <c r="N16" s="1">
        <v>2</v>
      </c>
      <c r="O16" s="1">
        <v>1999</v>
      </c>
      <c r="P16" s="1" t="s">
        <v>455</v>
      </c>
      <c r="Q16" s="1" t="s">
        <v>651</v>
      </c>
      <c r="R16" s="1">
        <v>120005</v>
      </c>
      <c r="S16" s="1" t="b">
        <v>1</v>
      </c>
    </row>
    <row r="17" spans="1:19" x14ac:dyDescent="0.3">
      <c r="A17" s="1">
        <v>16</v>
      </c>
      <c r="B17" s="1" t="s">
        <v>17</v>
      </c>
      <c r="C17" s="1">
        <v>2954703</v>
      </c>
      <c r="D17" s="1" t="s">
        <v>204</v>
      </c>
      <c r="E17" s="1">
        <v>32</v>
      </c>
      <c r="F17" s="1" t="str">
        <f t="shared" si="0"/>
        <v>Adult</v>
      </c>
      <c r="G17" s="2">
        <v>44598</v>
      </c>
      <c r="H17" s="2" t="str">
        <f t="shared" si="1"/>
        <v>Feb</v>
      </c>
      <c r="I17" s="1" t="s">
        <v>209</v>
      </c>
      <c r="J17" s="1" t="s">
        <v>215</v>
      </c>
      <c r="K17" s="1" t="s">
        <v>235</v>
      </c>
      <c r="L17" s="1" t="s">
        <v>428</v>
      </c>
      <c r="M17" s="1" t="s">
        <v>436</v>
      </c>
      <c r="N17" s="1">
        <v>3</v>
      </c>
      <c r="O17" s="1">
        <v>1820</v>
      </c>
      <c r="P17" s="1" t="s">
        <v>456</v>
      </c>
      <c r="Q17" s="1" t="s">
        <v>652</v>
      </c>
      <c r="R17" s="1">
        <v>120006</v>
      </c>
      <c r="S17" s="1" t="b">
        <v>0</v>
      </c>
    </row>
    <row r="18" spans="1:19" x14ac:dyDescent="0.3">
      <c r="A18" s="1">
        <v>17</v>
      </c>
      <c r="B18" s="1" t="s">
        <v>18</v>
      </c>
      <c r="C18" s="1">
        <v>8304927</v>
      </c>
      <c r="D18" s="1" t="s">
        <v>204</v>
      </c>
      <c r="E18" s="1">
        <v>24</v>
      </c>
      <c r="F18" s="1" t="str">
        <f t="shared" si="0"/>
        <v>Teenager</v>
      </c>
      <c r="G18" s="2">
        <v>44599</v>
      </c>
      <c r="H18" s="2" t="str">
        <f t="shared" si="1"/>
        <v>Feb</v>
      </c>
      <c r="I18" s="1" t="s">
        <v>209</v>
      </c>
      <c r="J18" s="1" t="s">
        <v>213</v>
      </c>
      <c r="K18" s="1" t="s">
        <v>236</v>
      </c>
      <c r="L18" s="1" t="s">
        <v>421</v>
      </c>
      <c r="M18" s="1" t="s">
        <v>437</v>
      </c>
      <c r="N18" s="1">
        <v>4</v>
      </c>
      <c r="O18" s="1">
        <v>2675</v>
      </c>
      <c r="P18" s="1" t="s">
        <v>457</v>
      </c>
      <c r="Q18" s="1" t="s">
        <v>653</v>
      </c>
      <c r="R18" s="1">
        <v>120007</v>
      </c>
      <c r="S18" s="1" t="b">
        <v>1</v>
      </c>
    </row>
    <row r="19" spans="1:19" x14ac:dyDescent="0.3">
      <c r="A19" s="1">
        <v>18</v>
      </c>
      <c r="B19" s="1" t="s">
        <v>19</v>
      </c>
      <c r="C19" s="1">
        <v>4619283</v>
      </c>
      <c r="D19" s="1" t="s">
        <v>204</v>
      </c>
      <c r="E19" s="1">
        <v>38</v>
      </c>
      <c r="F19" s="1" t="str">
        <f t="shared" si="0"/>
        <v>Adult</v>
      </c>
      <c r="G19" s="2">
        <v>44600</v>
      </c>
      <c r="H19" s="2" t="str">
        <f t="shared" si="1"/>
        <v>Feb</v>
      </c>
      <c r="I19" s="1" t="s">
        <v>210</v>
      </c>
      <c r="J19" s="1" t="s">
        <v>216</v>
      </c>
      <c r="K19" s="1" t="s">
        <v>237</v>
      </c>
      <c r="L19" s="1" t="s">
        <v>422</v>
      </c>
      <c r="M19" s="1" t="s">
        <v>438</v>
      </c>
      <c r="N19" s="1">
        <v>5</v>
      </c>
      <c r="O19" s="1">
        <v>520</v>
      </c>
      <c r="P19" s="1" t="s">
        <v>458</v>
      </c>
      <c r="Q19" s="1" t="s">
        <v>654</v>
      </c>
      <c r="R19" s="1">
        <v>120008</v>
      </c>
      <c r="S19" s="1" t="b">
        <v>0</v>
      </c>
    </row>
    <row r="20" spans="1:19" x14ac:dyDescent="0.3">
      <c r="A20" s="1">
        <v>19</v>
      </c>
      <c r="B20" s="1" t="s">
        <v>20</v>
      </c>
      <c r="C20" s="1">
        <v>5923740</v>
      </c>
      <c r="D20" s="1" t="s">
        <v>204</v>
      </c>
      <c r="E20" s="1">
        <v>40</v>
      </c>
      <c r="F20" s="1" t="str">
        <f t="shared" si="0"/>
        <v>Adult</v>
      </c>
      <c r="G20" s="2">
        <v>44601</v>
      </c>
      <c r="H20" s="2" t="str">
        <f t="shared" si="1"/>
        <v>Feb</v>
      </c>
      <c r="I20" s="1" t="s">
        <v>209</v>
      </c>
      <c r="J20" s="1" t="s">
        <v>217</v>
      </c>
      <c r="K20" s="1" t="s">
        <v>238</v>
      </c>
      <c r="L20" s="1" t="s">
        <v>423</v>
      </c>
      <c r="M20" s="1" t="s">
        <v>430</v>
      </c>
      <c r="N20" s="1">
        <v>1</v>
      </c>
      <c r="O20" s="1">
        <v>3750</v>
      </c>
      <c r="P20" s="1" t="s">
        <v>459</v>
      </c>
      <c r="Q20" s="1" t="s">
        <v>655</v>
      </c>
      <c r="R20" s="1">
        <v>120009</v>
      </c>
      <c r="S20" s="1" t="b">
        <v>1</v>
      </c>
    </row>
    <row r="21" spans="1:19" x14ac:dyDescent="0.3">
      <c r="A21" s="1">
        <v>20</v>
      </c>
      <c r="B21" s="1" t="s">
        <v>21</v>
      </c>
      <c r="C21" s="1">
        <v>7841203</v>
      </c>
      <c r="D21" s="1" t="s">
        <v>205</v>
      </c>
      <c r="E21" s="1">
        <v>35</v>
      </c>
      <c r="F21" s="1" t="str">
        <f t="shared" si="0"/>
        <v>Adult</v>
      </c>
      <c r="G21" s="2">
        <v>44602</v>
      </c>
      <c r="H21" s="2" t="str">
        <f t="shared" si="1"/>
        <v>Feb</v>
      </c>
      <c r="I21" s="1" t="s">
        <v>209</v>
      </c>
      <c r="J21" s="1" t="s">
        <v>218</v>
      </c>
      <c r="K21" s="1" t="s">
        <v>239</v>
      </c>
      <c r="L21" s="1" t="s">
        <v>424</v>
      </c>
      <c r="M21" s="1" t="s">
        <v>431</v>
      </c>
      <c r="N21" s="1">
        <v>2</v>
      </c>
      <c r="O21" s="1">
        <v>1450</v>
      </c>
      <c r="P21" s="1" t="s">
        <v>460</v>
      </c>
      <c r="Q21" s="1" t="s">
        <v>656</v>
      </c>
      <c r="R21" s="1">
        <v>120010</v>
      </c>
      <c r="S21" s="1" t="b">
        <v>0</v>
      </c>
    </row>
    <row r="22" spans="1:19" x14ac:dyDescent="0.3">
      <c r="A22" s="1">
        <v>21</v>
      </c>
      <c r="B22" s="1" t="s">
        <v>22</v>
      </c>
      <c r="C22" s="1">
        <v>3029485</v>
      </c>
      <c r="D22" s="1" t="s">
        <v>204</v>
      </c>
      <c r="E22" s="1">
        <v>23</v>
      </c>
      <c r="F22" s="1" t="str">
        <f t="shared" si="0"/>
        <v>Teenager</v>
      </c>
      <c r="G22" s="2">
        <v>44603</v>
      </c>
      <c r="H22" s="2" t="str">
        <f t="shared" si="1"/>
        <v>Feb</v>
      </c>
      <c r="I22" s="1" t="s">
        <v>209</v>
      </c>
      <c r="J22" s="1" t="s">
        <v>213</v>
      </c>
      <c r="K22" s="1" t="s">
        <v>240</v>
      </c>
      <c r="L22" s="1" t="s">
        <v>425</v>
      </c>
      <c r="M22" s="1" t="s">
        <v>432</v>
      </c>
      <c r="N22" s="1">
        <v>3</v>
      </c>
      <c r="O22" s="1">
        <v>3100</v>
      </c>
      <c r="P22" s="1" t="s">
        <v>461</v>
      </c>
      <c r="Q22" s="1" t="s">
        <v>638</v>
      </c>
      <c r="R22" s="1">
        <v>130001</v>
      </c>
      <c r="S22" s="1" t="b">
        <v>1</v>
      </c>
    </row>
    <row r="23" spans="1:19" x14ac:dyDescent="0.3">
      <c r="A23" s="1">
        <v>22</v>
      </c>
      <c r="B23" s="1" t="s">
        <v>23</v>
      </c>
      <c r="C23" s="1">
        <v>6792038</v>
      </c>
      <c r="D23" s="1" t="s">
        <v>204</v>
      </c>
      <c r="E23" s="1">
        <v>29</v>
      </c>
      <c r="F23" s="1" t="str">
        <f t="shared" si="0"/>
        <v>Teenager</v>
      </c>
      <c r="G23" s="2">
        <v>44604</v>
      </c>
      <c r="H23" s="2" t="str">
        <f t="shared" si="1"/>
        <v>Feb</v>
      </c>
      <c r="I23" s="1" t="s">
        <v>209</v>
      </c>
      <c r="J23" s="1" t="s">
        <v>214</v>
      </c>
      <c r="K23" s="1" t="s">
        <v>241</v>
      </c>
      <c r="L23" s="1" t="s">
        <v>426</v>
      </c>
      <c r="M23" s="1" t="s">
        <v>433</v>
      </c>
      <c r="N23" s="1">
        <v>4</v>
      </c>
      <c r="O23" s="1">
        <v>1299</v>
      </c>
      <c r="P23" s="1" t="s">
        <v>462</v>
      </c>
      <c r="Q23" s="1" t="s">
        <v>441</v>
      </c>
      <c r="R23" s="1">
        <v>130002</v>
      </c>
      <c r="S23" s="1" t="b">
        <v>0</v>
      </c>
    </row>
    <row r="24" spans="1:19" x14ac:dyDescent="0.3">
      <c r="A24" s="1">
        <v>23</v>
      </c>
      <c r="B24" s="1" t="s">
        <v>24</v>
      </c>
      <c r="C24" s="1">
        <v>4839207</v>
      </c>
      <c r="D24" s="1" t="s">
        <v>204</v>
      </c>
      <c r="E24" s="1">
        <v>28</v>
      </c>
      <c r="F24" s="1" t="str">
        <f t="shared" si="0"/>
        <v>Teenager</v>
      </c>
      <c r="G24" s="2">
        <v>44605</v>
      </c>
      <c r="H24" s="2" t="str">
        <f t="shared" si="1"/>
        <v>Feb</v>
      </c>
      <c r="I24" s="1" t="s">
        <v>211</v>
      </c>
      <c r="J24" s="1" t="s">
        <v>215</v>
      </c>
      <c r="K24" s="1" t="s">
        <v>242</v>
      </c>
      <c r="L24" s="1" t="s">
        <v>427</v>
      </c>
      <c r="M24" s="1" t="s">
        <v>434</v>
      </c>
      <c r="N24" s="1">
        <v>5</v>
      </c>
      <c r="O24" s="1">
        <v>2750</v>
      </c>
      <c r="P24" s="1" t="s">
        <v>463</v>
      </c>
      <c r="Q24" s="1" t="s">
        <v>639</v>
      </c>
      <c r="R24" s="1">
        <v>130003</v>
      </c>
      <c r="S24" s="1" t="b">
        <v>1</v>
      </c>
    </row>
    <row r="25" spans="1:19" x14ac:dyDescent="0.3">
      <c r="A25" s="1">
        <v>24</v>
      </c>
      <c r="B25" s="1" t="s">
        <v>25</v>
      </c>
      <c r="C25" s="1">
        <v>5029384</v>
      </c>
      <c r="D25" s="1" t="s">
        <v>205</v>
      </c>
      <c r="E25" s="1">
        <v>42</v>
      </c>
      <c r="F25" s="1" t="str">
        <f t="shared" si="0"/>
        <v>Adult</v>
      </c>
      <c r="G25" s="2">
        <v>44622</v>
      </c>
      <c r="H25" s="2" t="str">
        <f t="shared" si="1"/>
        <v>Mar</v>
      </c>
      <c r="I25" s="1" t="s">
        <v>209</v>
      </c>
      <c r="J25" s="1" t="s">
        <v>216</v>
      </c>
      <c r="K25" s="1" t="s">
        <v>243</v>
      </c>
      <c r="L25" s="1" t="s">
        <v>428</v>
      </c>
      <c r="M25" s="1" t="s">
        <v>435</v>
      </c>
      <c r="N25" s="1">
        <v>1</v>
      </c>
      <c r="O25" s="1">
        <v>420</v>
      </c>
      <c r="P25" s="1" t="s">
        <v>464</v>
      </c>
      <c r="Q25" s="1" t="s">
        <v>640</v>
      </c>
      <c r="R25" s="1">
        <v>130004</v>
      </c>
      <c r="S25" s="1" t="b">
        <v>0</v>
      </c>
    </row>
    <row r="26" spans="1:19" x14ac:dyDescent="0.3">
      <c r="A26" s="1">
        <v>25</v>
      </c>
      <c r="B26" s="1" t="s">
        <v>26</v>
      </c>
      <c r="C26" s="1">
        <v>9183746</v>
      </c>
      <c r="D26" s="1" t="s">
        <v>204</v>
      </c>
      <c r="E26" s="1">
        <v>33</v>
      </c>
      <c r="F26" s="1" t="str">
        <f t="shared" si="0"/>
        <v>Adult</v>
      </c>
      <c r="G26" s="2">
        <v>44623</v>
      </c>
      <c r="H26" s="2" t="str">
        <f t="shared" si="1"/>
        <v>Mar</v>
      </c>
      <c r="I26" s="1" t="s">
        <v>209</v>
      </c>
      <c r="J26" s="1" t="s">
        <v>217</v>
      </c>
      <c r="K26" s="1" t="s">
        <v>244</v>
      </c>
      <c r="L26" s="1" t="s">
        <v>421</v>
      </c>
      <c r="M26" s="1" t="s">
        <v>436</v>
      </c>
      <c r="N26" s="1">
        <v>2</v>
      </c>
      <c r="O26" s="1">
        <v>1850</v>
      </c>
      <c r="P26" s="1" t="s">
        <v>465</v>
      </c>
      <c r="Q26" s="1" t="s">
        <v>641</v>
      </c>
      <c r="R26" s="1">
        <v>130005</v>
      </c>
      <c r="S26" s="1" t="b">
        <v>1</v>
      </c>
    </row>
    <row r="27" spans="1:19" x14ac:dyDescent="0.3">
      <c r="A27" s="1">
        <v>26</v>
      </c>
      <c r="B27" s="1" t="s">
        <v>27</v>
      </c>
      <c r="C27" s="1">
        <v>2309487</v>
      </c>
      <c r="D27" s="1" t="s">
        <v>204</v>
      </c>
      <c r="E27" s="1">
        <v>37</v>
      </c>
      <c r="F27" s="1" t="str">
        <f t="shared" si="0"/>
        <v>Adult</v>
      </c>
      <c r="G27" s="2">
        <v>44624</v>
      </c>
      <c r="H27" s="2" t="str">
        <f t="shared" si="1"/>
        <v>Mar</v>
      </c>
      <c r="I27" s="1" t="s">
        <v>209</v>
      </c>
      <c r="J27" s="1" t="s">
        <v>213</v>
      </c>
      <c r="K27" s="1" t="s">
        <v>245</v>
      </c>
      <c r="L27" s="1" t="s">
        <v>422</v>
      </c>
      <c r="M27" s="1" t="s">
        <v>437</v>
      </c>
      <c r="N27" s="1">
        <v>3</v>
      </c>
      <c r="O27" s="1">
        <v>3325</v>
      </c>
      <c r="P27" s="1" t="s">
        <v>466</v>
      </c>
      <c r="Q27" s="1" t="s">
        <v>642</v>
      </c>
      <c r="R27" s="1">
        <v>130006</v>
      </c>
      <c r="S27" s="1" t="b">
        <v>0</v>
      </c>
    </row>
    <row r="28" spans="1:19" x14ac:dyDescent="0.3">
      <c r="A28" s="1">
        <v>27</v>
      </c>
      <c r="B28" s="1" t="s">
        <v>28</v>
      </c>
      <c r="C28" s="1">
        <v>8473629</v>
      </c>
      <c r="D28" s="1" t="s">
        <v>204</v>
      </c>
      <c r="E28" s="1">
        <v>31</v>
      </c>
      <c r="F28" s="1" t="str">
        <f t="shared" si="0"/>
        <v>Adult</v>
      </c>
      <c r="G28" s="2">
        <v>44625</v>
      </c>
      <c r="H28" s="2" t="str">
        <f t="shared" si="1"/>
        <v>Mar</v>
      </c>
      <c r="I28" s="1" t="s">
        <v>209</v>
      </c>
      <c r="J28" s="1" t="s">
        <v>218</v>
      </c>
      <c r="K28" s="1" t="s">
        <v>246</v>
      </c>
      <c r="L28" s="1" t="s">
        <v>423</v>
      </c>
      <c r="M28" s="1" t="s">
        <v>438</v>
      </c>
      <c r="N28" s="1">
        <v>4</v>
      </c>
      <c r="O28" s="1">
        <v>499</v>
      </c>
      <c r="P28" s="1" t="s">
        <v>467</v>
      </c>
      <c r="Q28" s="1" t="s">
        <v>643</v>
      </c>
      <c r="R28" s="1">
        <v>130007</v>
      </c>
      <c r="S28" s="1" t="b">
        <v>1</v>
      </c>
    </row>
    <row r="29" spans="1:19" x14ac:dyDescent="0.3">
      <c r="A29" s="1">
        <v>28</v>
      </c>
      <c r="B29" s="1" t="s">
        <v>29</v>
      </c>
      <c r="C29" s="1">
        <v>2748391</v>
      </c>
      <c r="D29" s="1" t="s">
        <v>204</v>
      </c>
      <c r="E29" s="1">
        <v>44</v>
      </c>
      <c r="F29" s="1" t="str">
        <f t="shared" si="0"/>
        <v>Adult</v>
      </c>
      <c r="G29" s="2">
        <v>44626</v>
      </c>
      <c r="H29" s="2" t="str">
        <f t="shared" si="1"/>
        <v>Mar</v>
      </c>
      <c r="I29" s="1" t="s">
        <v>210</v>
      </c>
      <c r="J29" s="1" t="s">
        <v>214</v>
      </c>
      <c r="K29" s="1" t="s">
        <v>247</v>
      </c>
      <c r="L29" s="1" t="s">
        <v>424</v>
      </c>
      <c r="M29" s="1" t="s">
        <v>430</v>
      </c>
      <c r="N29" s="1">
        <v>5</v>
      </c>
      <c r="O29" s="1">
        <v>2500</v>
      </c>
      <c r="P29" s="1" t="s">
        <v>468</v>
      </c>
      <c r="Q29" s="1" t="s">
        <v>644</v>
      </c>
      <c r="R29" s="1">
        <v>130008</v>
      </c>
      <c r="S29" s="1" t="b">
        <v>0</v>
      </c>
    </row>
    <row r="30" spans="1:19" x14ac:dyDescent="0.3">
      <c r="A30" s="1">
        <v>29</v>
      </c>
      <c r="B30" s="1" t="s">
        <v>30</v>
      </c>
      <c r="C30" s="1">
        <v>3029481</v>
      </c>
      <c r="D30" s="1" t="s">
        <v>205</v>
      </c>
      <c r="E30" s="1">
        <v>26</v>
      </c>
      <c r="F30" s="1" t="str">
        <f t="shared" si="0"/>
        <v>Teenager</v>
      </c>
      <c r="G30" s="2">
        <v>44627</v>
      </c>
      <c r="H30" s="2" t="str">
        <f t="shared" si="1"/>
        <v>Mar</v>
      </c>
      <c r="I30" s="1" t="s">
        <v>209</v>
      </c>
      <c r="J30" s="1" t="s">
        <v>215</v>
      </c>
      <c r="K30" s="1" t="s">
        <v>248</v>
      </c>
      <c r="L30" s="1" t="s">
        <v>425</v>
      </c>
      <c r="M30" s="1" t="s">
        <v>431</v>
      </c>
      <c r="N30" s="1">
        <v>1</v>
      </c>
      <c r="O30" s="1">
        <v>390</v>
      </c>
      <c r="P30" s="1" t="s">
        <v>469</v>
      </c>
      <c r="Q30" s="1" t="s">
        <v>645</v>
      </c>
      <c r="R30" s="1">
        <v>130009</v>
      </c>
      <c r="S30" s="1" t="b">
        <v>1</v>
      </c>
    </row>
    <row r="31" spans="1:19" x14ac:dyDescent="0.3">
      <c r="A31" s="1">
        <v>30</v>
      </c>
      <c r="B31" s="1" t="s">
        <v>31</v>
      </c>
      <c r="C31" s="1">
        <v>1093847</v>
      </c>
      <c r="D31" s="1" t="s">
        <v>204</v>
      </c>
      <c r="E31" s="1">
        <v>39</v>
      </c>
      <c r="F31" s="1" t="str">
        <f t="shared" si="0"/>
        <v>Adult</v>
      </c>
      <c r="G31" s="2">
        <v>44628</v>
      </c>
      <c r="H31" s="2" t="str">
        <f t="shared" si="1"/>
        <v>Mar</v>
      </c>
      <c r="I31" s="1" t="s">
        <v>209</v>
      </c>
      <c r="J31" s="1" t="s">
        <v>213</v>
      </c>
      <c r="K31" s="1" t="s">
        <v>249</v>
      </c>
      <c r="L31" s="1" t="s">
        <v>426</v>
      </c>
      <c r="M31" s="1" t="s">
        <v>432</v>
      </c>
      <c r="N31" s="1">
        <v>2</v>
      </c>
      <c r="O31" s="1">
        <v>4100</v>
      </c>
      <c r="P31" s="1" t="s">
        <v>470</v>
      </c>
      <c r="Q31" s="1" t="s">
        <v>646</v>
      </c>
      <c r="R31" s="1">
        <v>130010</v>
      </c>
      <c r="S31" s="1" t="b">
        <v>0</v>
      </c>
    </row>
    <row r="32" spans="1:19" x14ac:dyDescent="0.3">
      <c r="A32" s="1">
        <v>31</v>
      </c>
      <c r="B32" s="1" t="s">
        <v>32</v>
      </c>
      <c r="C32" s="1">
        <v>6639204</v>
      </c>
      <c r="D32" s="1" t="s">
        <v>204</v>
      </c>
      <c r="E32" s="1">
        <v>30</v>
      </c>
      <c r="F32" s="1" t="str">
        <f t="shared" si="0"/>
        <v>Adult</v>
      </c>
      <c r="G32" s="2">
        <v>44629</v>
      </c>
      <c r="H32" s="2" t="str">
        <f t="shared" si="1"/>
        <v>Mar</v>
      </c>
      <c r="I32" s="1" t="s">
        <v>209</v>
      </c>
      <c r="J32" s="1" t="s">
        <v>216</v>
      </c>
      <c r="K32" s="1" t="s">
        <v>250</v>
      </c>
      <c r="L32" s="1" t="s">
        <v>427</v>
      </c>
      <c r="M32" s="1" t="s">
        <v>433</v>
      </c>
      <c r="N32" s="1">
        <v>3</v>
      </c>
      <c r="O32" s="1">
        <v>1650</v>
      </c>
      <c r="P32" s="1" t="s">
        <v>471</v>
      </c>
      <c r="Q32" s="1" t="s">
        <v>647</v>
      </c>
      <c r="R32" s="1">
        <v>140001</v>
      </c>
      <c r="S32" s="1" t="b">
        <v>1</v>
      </c>
    </row>
    <row r="33" spans="1:19" x14ac:dyDescent="0.3">
      <c r="A33" s="1">
        <v>32</v>
      </c>
      <c r="B33" s="1" t="s">
        <v>33</v>
      </c>
      <c r="C33" s="1">
        <v>5920384</v>
      </c>
      <c r="D33" s="1" t="s">
        <v>204</v>
      </c>
      <c r="E33" s="1">
        <v>36</v>
      </c>
      <c r="F33" s="1" t="str">
        <f t="shared" si="0"/>
        <v>Adult</v>
      </c>
      <c r="G33" s="2">
        <v>44630</v>
      </c>
      <c r="H33" s="2" t="str">
        <f t="shared" si="1"/>
        <v>Mar</v>
      </c>
      <c r="I33" s="1" t="s">
        <v>209</v>
      </c>
      <c r="J33" s="1" t="s">
        <v>217</v>
      </c>
      <c r="K33" s="1" t="s">
        <v>251</v>
      </c>
      <c r="L33" s="1" t="s">
        <v>428</v>
      </c>
      <c r="M33" s="1" t="s">
        <v>434</v>
      </c>
      <c r="N33" s="1">
        <v>4</v>
      </c>
      <c r="O33" s="1">
        <v>2890</v>
      </c>
      <c r="P33" s="1" t="s">
        <v>472</v>
      </c>
      <c r="Q33" s="1" t="s">
        <v>648</v>
      </c>
      <c r="R33" s="1">
        <v>140002</v>
      </c>
      <c r="S33" s="1" t="b">
        <v>0</v>
      </c>
    </row>
    <row r="34" spans="1:19" x14ac:dyDescent="0.3">
      <c r="A34" s="1">
        <v>33</v>
      </c>
      <c r="B34" s="1" t="s">
        <v>34</v>
      </c>
      <c r="C34" s="1">
        <v>9283740</v>
      </c>
      <c r="D34" s="1" t="s">
        <v>204</v>
      </c>
      <c r="E34" s="1">
        <v>27</v>
      </c>
      <c r="F34" s="1" t="str">
        <f t="shared" si="0"/>
        <v>Teenager</v>
      </c>
      <c r="G34" s="2">
        <v>44631</v>
      </c>
      <c r="H34" s="2" t="str">
        <f t="shared" si="1"/>
        <v>Mar</v>
      </c>
      <c r="I34" s="1" t="s">
        <v>211</v>
      </c>
      <c r="J34" s="1" t="s">
        <v>218</v>
      </c>
      <c r="K34" s="1" t="s">
        <v>252</v>
      </c>
      <c r="L34" s="1" t="s">
        <v>421</v>
      </c>
      <c r="M34" s="1" t="s">
        <v>435</v>
      </c>
      <c r="N34" s="1">
        <v>5</v>
      </c>
      <c r="O34" s="1">
        <v>520</v>
      </c>
      <c r="P34" s="1" t="s">
        <v>473</v>
      </c>
      <c r="Q34" s="1" t="s">
        <v>649</v>
      </c>
      <c r="R34" s="1">
        <v>140003</v>
      </c>
      <c r="S34" s="1" t="b">
        <v>1</v>
      </c>
    </row>
    <row r="35" spans="1:19" x14ac:dyDescent="0.3">
      <c r="A35" s="1">
        <v>34</v>
      </c>
      <c r="B35" s="1" t="s">
        <v>35</v>
      </c>
      <c r="C35" s="1">
        <v>5938472</v>
      </c>
      <c r="D35" s="1" t="s">
        <v>205</v>
      </c>
      <c r="E35" s="1">
        <v>41</v>
      </c>
      <c r="F35" s="1" t="str">
        <f t="shared" si="0"/>
        <v>Adult</v>
      </c>
      <c r="G35" s="2">
        <v>44632</v>
      </c>
      <c r="H35" s="2" t="str">
        <f t="shared" si="1"/>
        <v>Mar</v>
      </c>
      <c r="I35" s="1" t="s">
        <v>209</v>
      </c>
      <c r="J35" s="1" t="s">
        <v>213</v>
      </c>
      <c r="K35" s="1" t="s">
        <v>253</v>
      </c>
      <c r="L35" s="1" t="s">
        <v>422</v>
      </c>
      <c r="M35" s="1" t="s">
        <v>436</v>
      </c>
      <c r="N35" s="1">
        <v>1</v>
      </c>
      <c r="O35" s="1">
        <v>3750</v>
      </c>
      <c r="P35" s="1" t="s">
        <v>474</v>
      </c>
      <c r="Q35" s="1" t="s">
        <v>650</v>
      </c>
      <c r="R35" s="1">
        <v>140004</v>
      </c>
      <c r="S35" s="1" t="b">
        <v>0</v>
      </c>
    </row>
    <row r="36" spans="1:19" x14ac:dyDescent="0.3">
      <c r="A36" s="1">
        <v>35</v>
      </c>
      <c r="B36" s="1" t="s">
        <v>36</v>
      </c>
      <c r="C36" s="1">
        <v>7384921</v>
      </c>
      <c r="D36" s="1" t="s">
        <v>204</v>
      </c>
      <c r="E36" s="1">
        <v>34</v>
      </c>
      <c r="F36" s="1" t="str">
        <f t="shared" si="0"/>
        <v>Adult</v>
      </c>
      <c r="G36" s="2">
        <v>44633</v>
      </c>
      <c r="H36" s="2" t="str">
        <f t="shared" si="1"/>
        <v>Mar</v>
      </c>
      <c r="I36" s="1" t="s">
        <v>209</v>
      </c>
      <c r="J36" s="1" t="s">
        <v>214</v>
      </c>
      <c r="K36" s="1" t="s">
        <v>254</v>
      </c>
      <c r="L36" s="1" t="s">
        <v>423</v>
      </c>
      <c r="M36" s="1" t="s">
        <v>437</v>
      </c>
      <c r="N36" s="1">
        <v>2</v>
      </c>
      <c r="O36" s="1">
        <v>1980</v>
      </c>
      <c r="P36" s="1" t="s">
        <v>475</v>
      </c>
      <c r="Q36" s="1" t="s">
        <v>651</v>
      </c>
      <c r="R36" s="1">
        <v>140005</v>
      </c>
      <c r="S36" s="1" t="b">
        <v>1</v>
      </c>
    </row>
    <row r="37" spans="1:19" x14ac:dyDescent="0.3">
      <c r="A37" s="1">
        <v>36</v>
      </c>
      <c r="B37" s="1" t="s">
        <v>37</v>
      </c>
      <c r="C37" s="1">
        <v>3029384</v>
      </c>
      <c r="D37" s="1" t="s">
        <v>204</v>
      </c>
      <c r="E37" s="1">
        <v>32</v>
      </c>
      <c r="F37" s="1" t="str">
        <f t="shared" si="0"/>
        <v>Adult</v>
      </c>
      <c r="G37" s="2">
        <v>44634</v>
      </c>
      <c r="H37" s="2" t="str">
        <f t="shared" si="1"/>
        <v>Mar</v>
      </c>
      <c r="I37" s="1" t="s">
        <v>209</v>
      </c>
      <c r="J37" s="1" t="s">
        <v>215</v>
      </c>
      <c r="K37" s="1" t="s">
        <v>255</v>
      </c>
      <c r="L37" s="1" t="s">
        <v>424</v>
      </c>
      <c r="M37" s="1" t="s">
        <v>438</v>
      </c>
      <c r="N37" s="1">
        <v>3</v>
      </c>
      <c r="O37" s="1">
        <v>2600</v>
      </c>
      <c r="P37" s="1" t="s">
        <v>476</v>
      </c>
      <c r="Q37" s="1" t="s">
        <v>652</v>
      </c>
      <c r="R37" s="1">
        <v>140006</v>
      </c>
      <c r="S37" s="1" t="b">
        <v>0</v>
      </c>
    </row>
    <row r="38" spans="1:19" x14ac:dyDescent="0.3">
      <c r="A38" s="1">
        <v>37</v>
      </c>
      <c r="B38" s="1" t="s">
        <v>38</v>
      </c>
      <c r="C38" s="1">
        <v>5039281</v>
      </c>
      <c r="D38" s="1" t="s">
        <v>204</v>
      </c>
      <c r="E38" s="1">
        <v>25</v>
      </c>
      <c r="F38" s="1" t="str">
        <f t="shared" si="0"/>
        <v>Teenager</v>
      </c>
      <c r="G38" s="2">
        <v>44635</v>
      </c>
      <c r="H38" s="2" t="str">
        <f t="shared" si="1"/>
        <v>Mar</v>
      </c>
      <c r="I38" s="1" t="s">
        <v>209</v>
      </c>
      <c r="J38" s="1" t="s">
        <v>216</v>
      </c>
      <c r="K38" s="1" t="s">
        <v>256</v>
      </c>
      <c r="L38" s="1" t="s">
        <v>425</v>
      </c>
      <c r="M38" s="1" t="s">
        <v>430</v>
      </c>
      <c r="N38" s="1">
        <v>4</v>
      </c>
      <c r="O38" s="1">
        <v>475</v>
      </c>
      <c r="P38" s="1" t="s">
        <v>477</v>
      </c>
      <c r="Q38" s="1" t="s">
        <v>653</v>
      </c>
      <c r="R38" s="1">
        <v>140007</v>
      </c>
      <c r="S38" s="1" t="b">
        <v>1</v>
      </c>
    </row>
    <row r="39" spans="1:19" x14ac:dyDescent="0.3">
      <c r="A39" s="1">
        <v>38</v>
      </c>
      <c r="B39" s="1" t="s">
        <v>39</v>
      </c>
      <c r="C39" s="1">
        <v>9203842</v>
      </c>
      <c r="D39" s="1" t="s">
        <v>204</v>
      </c>
      <c r="E39" s="1">
        <v>38</v>
      </c>
      <c r="F39" s="1" t="str">
        <f t="shared" si="0"/>
        <v>Adult</v>
      </c>
      <c r="G39" s="2">
        <v>44652</v>
      </c>
      <c r="H39" s="2" t="str">
        <f t="shared" si="1"/>
        <v>Apr</v>
      </c>
      <c r="I39" s="1" t="s">
        <v>210</v>
      </c>
      <c r="J39" s="1" t="s">
        <v>217</v>
      </c>
      <c r="K39" s="1" t="s">
        <v>257</v>
      </c>
      <c r="L39" s="1" t="s">
        <v>426</v>
      </c>
      <c r="M39" s="1" t="s">
        <v>431</v>
      </c>
      <c r="N39" s="1">
        <v>5</v>
      </c>
      <c r="O39" s="1">
        <v>3200</v>
      </c>
      <c r="P39" s="1" t="s">
        <v>478</v>
      </c>
      <c r="Q39" s="1" t="s">
        <v>654</v>
      </c>
      <c r="R39" s="1">
        <v>140008</v>
      </c>
      <c r="S39" s="1" t="b">
        <v>0</v>
      </c>
    </row>
    <row r="40" spans="1:19" x14ac:dyDescent="0.3">
      <c r="A40" s="1">
        <v>39</v>
      </c>
      <c r="B40" s="1" t="s">
        <v>40</v>
      </c>
      <c r="C40" s="1">
        <v>3849201</v>
      </c>
      <c r="D40" s="1" t="s">
        <v>205</v>
      </c>
      <c r="E40" s="1">
        <v>29</v>
      </c>
      <c r="F40" s="1" t="str">
        <f t="shared" si="0"/>
        <v>Teenager</v>
      </c>
      <c r="G40" s="2">
        <v>44653</v>
      </c>
      <c r="H40" s="2" t="str">
        <f t="shared" si="1"/>
        <v>Apr</v>
      </c>
      <c r="I40" s="1" t="s">
        <v>209</v>
      </c>
      <c r="J40" s="1" t="s">
        <v>213</v>
      </c>
      <c r="K40" s="1" t="s">
        <v>258</v>
      </c>
      <c r="L40" s="1" t="s">
        <v>427</v>
      </c>
      <c r="M40" s="1" t="s">
        <v>432</v>
      </c>
      <c r="N40" s="1">
        <v>1</v>
      </c>
      <c r="O40" s="1">
        <v>1350</v>
      </c>
      <c r="P40" s="1" t="s">
        <v>479</v>
      </c>
      <c r="Q40" s="1" t="s">
        <v>655</v>
      </c>
      <c r="R40" s="1">
        <v>140009</v>
      </c>
      <c r="S40" s="1" t="b">
        <v>1</v>
      </c>
    </row>
    <row r="41" spans="1:19" x14ac:dyDescent="0.3">
      <c r="A41" s="1">
        <v>40</v>
      </c>
      <c r="B41" s="1" t="s">
        <v>41</v>
      </c>
      <c r="C41" s="1">
        <v>7293840</v>
      </c>
      <c r="D41" s="1" t="s">
        <v>204</v>
      </c>
      <c r="E41" s="1">
        <v>43</v>
      </c>
      <c r="F41" s="1" t="str">
        <f t="shared" si="0"/>
        <v>Adult</v>
      </c>
      <c r="G41" s="2">
        <v>44654</v>
      </c>
      <c r="H41" s="2" t="str">
        <f t="shared" si="1"/>
        <v>Apr</v>
      </c>
      <c r="I41" s="1" t="s">
        <v>678</v>
      </c>
      <c r="J41" s="1" t="s">
        <v>218</v>
      </c>
      <c r="K41" s="1" t="s">
        <v>259</v>
      </c>
      <c r="L41" s="1" t="s">
        <v>428</v>
      </c>
      <c r="M41" s="1" t="s">
        <v>433</v>
      </c>
      <c r="N41" s="1">
        <v>2</v>
      </c>
      <c r="O41" s="1">
        <v>410</v>
      </c>
      <c r="P41" s="1" t="s">
        <v>480</v>
      </c>
      <c r="Q41" s="1" t="s">
        <v>656</v>
      </c>
      <c r="R41" s="1">
        <v>140010</v>
      </c>
      <c r="S41" s="1" t="b">
        <v>0</v>
      </c>
    </row>
    <row r="42" spans="1:19" x14ac:dyDescent="0.3">
      <c r="A42" s="1">
        <v>41</v>
      </c>
      <c r="B42" s="1" t="s">
        <v>42</v>
      </c>
      <c r="C42" s="1">
        <v>4092837</v>
      </c>
      <c r="D42" s="1" t="s">
        <v>204</v>
      </c>
      <c r="E42" s="1">
        <v>31</v>
      </c>
      <c r="F42" s="1" t="str">
        <f t="shared" si="0"/>
        <v>Adult</v>
      </c>
      <c r="G42" s="2">
        <v>44655</v>
      </c>
      <c r="H42" s="2" t="str">
        <f t="shared" si="1"/>
        <v>Apr</v>
      </c>
      <c r="I42" s="1" t="s">
        <v>678</v>
      </c>
      <c r="J42" s="1" t="s">
        <v>214</v>
      </c>
      <c r="K42" s="1" t="s">
        <v>260</v>
      </c>
      <c r="L42" s="1" t="s">
        <v>421</v>
      </c>
      <c r="M42" s="1" t="s">
        <v>434</v>
      </c>
      <c r="N42" s="1">
        <v>3</v>
      </c>
      <c r="O42" s="1">
        <v>2800</v>
      </c>
      <c r="P42" s="1" t="s">
        <v>481</v>
      </c>
      <c r="Q42" s="1" t="s">
        <v>638</v>
      </c>
      <c r="R42" s="1">
        <v>150001</v>
      </c>
      <c r="S42" s="1" t="b">
        <v>1</v>
      </c>
    </row>
    <row r="43" spans="1:19" x14ac:dyDescent="0.3">
      <c r="A43" s="1">
        <v>42</v>
      </c>
      <c r="B43" s="1" t="s">
        <v>43</v>
      </c>
      <c r="C43" s="1">
        <v>8472036</v>
      </c>
      <c r="D43" s="1" t="s">
        <v>204</v>
      </c>
      <c r="E43" s="1">
        <v>77</v>
      </c>
      <c r="F43" s="1" t="str">
        <f t="shared" si="0"/>
        <v>Senior</v>
      </c>
      <c r="G43" s="2">
        <v>44656</v>
      </c>
      <c r="H43" s="2" t="str">
        <f t="shared" si="1"/>
        <v>Apr</v>
      </c>
      <c r="I43" s="1" t="s">
        <v>678</v>
      </c>
      <c r="J43" s="1" t="s">
        <v>215</v>
      </c>
      <c r="K43" s="1" t="s">
        <v>261</v>
      </c>
      <c r="L43" s="1" t="s">
        <v>422</v>
      </c>
      <c r="M43" s="1" t="s">
        <v>435</v>
      </c>
      <c r="N43" s="1">
        <v>4</v>
      </c>
      <c r="O43" s="1">
        <v>1525</v>
      </c>
      <c r="P43" s="1" t="s">
        <v>482</v>
      </c>
      <c r="Q43" s="1" t="s">
        <v>441</v>
      </c>
      <c r="R43" s="1">
        <v>150002</v>
      </c>
      <c r="S43" s="1" t="b">
        <v>0</v>
      </c>
    </row>
    <row r="44" spans="1:19" x14ac:dyDescent="0.3">
      <c r="A44" s="1">
        <v>43</v>
      </c>
      <c r="B44" s="1" t="s">
        <v>44</v>
      </c>
      <c r="C44" s="1">
        <v>1938472</v>
      </c>
      <c r="D44" s="1" t="s">
        <v>204</v>
      </c>
      <c r="E44" s="1">
        <v>28</v>
      </c>
      <c r="F44" s="1" t="str">
        <f t="shared" si="0"/>
        <v>Teenager</v>
      </c>
      <c r="G44" s="2">
        <v>44657</v>
      </c>
      <c r="H44" s="2" t="str">
        <f t="shared" si="1"/>
        <v>Apr</v>
      </c>
      <c r="I44" s="1" t="s">
        <v>678</v>
      </c>
      <c r="J44" s="1" t="s">
        <v>213</v>
      </c>
      <c r="K44" s="1" t="s">
        <v>262</v>
      </c>
      <c r="L44" s="1" t="s">
        <v>423</v>
      </c>
      <c r="M44" s="1" t="s">
        <v>436</v>
      </c>
      <c r="N44" s="1">
        <v>5</v>
      </c>
      <c r="O44" s="1">
        <v>3600</v>
      </c>
      <c r="P44" s="1" t="s">
        <v>483</v>
      </c>
      <c r="Q44" s="1" t="s">
        <v>639</v>
      </c>
      <c r="R44" s="1">
        <v>150003</v>
      </c>
      <c r="S44" s="1" t="b">
        <v>1</v>
      </c>
    </row>
    <row r="45" spans="1:19" x14ac:dyDescent="0.3">
      <c r="A45" s="1">
        <v>44</v>
      </c>
      <c r="B45" s="1" t="s">
        <v>45</v>
      </c>
      <c r="C45" s="1">
        <v>2847391</v>
      </c>
      <c r="D45" s="1" t="s">
        <v>205</v>
      </c>
      <c r="E45" s="1">
        <v>40</v>
      </c>
      <c r="F45" s="1" t="str">
        <f t="shared" si="0"/>
        <v>Adult</v>
      </c>
      <c r="G45" s="2">
        <v>44658</v>
      </c>
      <c r="H45" s="2" t="str">
        <f t="shared" si="1"/>
        <v>Apr</v>
      </c>
      <c r="I45" s="1" t="s">
        <v>678</v>
      </c>
      <c r="J45" s="1" t="s">
        <v>216</v>
      </c>
      <c r="K45" s="1" t="s">
        <v>263</v>
      </c>
      <c r="L45" s="1" t="s">
        <v>424</v>
      </c>
      <c r="M45" s="1" t="s">
        <v>437</v>
      </c>
      <c r="N45" s="1">
        <v>1</v>
      </c>
      <c r="O45" s="1">
        <v>470</v>
      </c>
      <c r="P45" s="1" t="s">
        <v>484</v>
      </c>
      <c r="Q45" s="1" t="s">
        <v>640</v>
      </c>
      <c r="R45" s="1">
        <v>150004</v>
      </c>
      <c r="S45" s="1" t="b">
        <v>0</v>
      </c>
    </row>
    <row r="46" spans="1:19" x14ac:dyDescent="0.3">
      <c r="A46" s="1">
        <v>45</v>
      </c>
      <c r="B46" s="1" t="s">
        <v>46</v>
      </c>
      <c r="C46" s="1">
        <v>9482031</v>
      </c>
      <c r="D46" s="1" t="s">
        <v>204</v>
      </c>
      <c r="E46" s="1">
        <v>26</v>
      </c>
      <c r="F46" s="1" t="str">
        <f t="shared" si="0"/>
        <v>Teenager</v>
      </c>
      <c r="G46" s="2">
        <v>44659</v>
      </c>
      <c r="H46" s="2" t="str">
        <f t="shared" si="1"/>
        <v>Apr</v>
      </c>
      <c r="I46" s="1" t="s">
        <v>678</v>
      </c>
      <c r="J46" s="1" t="s">
        <v>217</v>
      </c>
      <c r="K46" s="1" t="s">
        <v>264</v>
      </c>
      <c r="L46" s="1" t="s">
        <v>425</v>
      </c>
      <c r="M46" s="1" t="s">
        <v>438</v>
      </c>
      <c r="N46" s="1">
        <v>2</v>
      </c>
      <c r="O46" s="1">
        <v>1995</v>
      </c>
      <c r="P46" s="1" t="s">
        <v>485</v>
      </c>
      <c r="Q46" s="1" t="s">
        <v>641</v>
      </c>
      <c r="R46" s="1">
        <v>150005</v>
      </c>
      <c r="S46" s="1" t="b">
        <v>1</v>
      </c>
    </row>
    <row r="47" spans="1:19" x14ac:dyDescent="0.3">
      <c r="A47" s="1">
        <v>46</v>
      </c>
      <c r="B47" s="1" t="s">
        <v>47</v>
      </c>
      <c r="C47" s="1">
        <v>6193842</v>
      </c>
      <c r="D47" s="1" t="s">
        <v>204</v>
      </c>
      <c r="E47" s="1">
        <v>35</v>
      </c>
      <c r="F47" s="1" t="str">
        <f t="shared" si="0"/>
        <v>Adult</v>
      </c>
      <c r="G47" s="2">
        <v>44660</v>
      </c>
      <c r="H47" s="2" t="str">
        <f t="shared" si="1"/>
        <v>Apr</v>
      </c>
      <c r="I47" s="1" t="s">
        <v>678</v>
      </c>
      <c r="J47" s="1" t="s">
        <v>218</v>
      </c>
      <c r="K47" s="1" t="s">
        <v>265</v>
      </c>
      <c r="L47" s="1" t="s">
        <v>426</v>
      </c>
      <c r="M47" s="1" t="s">
        <v>430</v>
      </c>
      <c r="N47" s="1">
        <v>3</v>
      </c>
      <c r="O47" s="1">
        <v>3450</v>
      </c>
      <c r="P47" s="1" t="s">
        <v>486</v>
      </c>
      <c r="Q47" s="1" t="s">
        <v>642</v>
      </c>
      <c r="R47" s="1">
        <v>150006</v>
      </c>
      <c r="S47" s="1" t="b">
        <v>0</v>
      </c>
    </row>
    <row r="48" spans="1:19" x14ac:dyDescent="0.3">
      <c r="A48" s="1">
        <v>47</v>
      </c>
      <c r="B48" s="1" t="s">
        <v>48</v>
      </c>
      <c r="C48" s="1">
        <v>7382049</v>
      </c>
      <c r="D48" s="1" t="s">
        <v>204</v>
      </c>
      <c r="E48" s="1">
        <v>33</v>
      </c>
      <c r="F48" s="1" t="str">
        <f t="shared" si="0"/>
        <v>Adult</v>
      </c>
      <c r="G48" s="2">
        <v>44681</v>
      </c>
      <c r="H48" s="2" t="str">
        <f t="shared" si="1"/>
        <v>Apr</v>
      </c>
      <c r="I48" s="1" t="s">
        <v>678</v>
      </c>
      <c r="J48" s="1" t="s">
        <v>213</v>
      </c>
      <c r="K48" s="1" t="s">
        <v>266</v>
      </c>
      <c r="L48" s="1" t="s">
        <v>427</v>
      </c>
      <c r="M48" s="1" t="s">
        <v>431</v>
      </c>
      <c r="N48" s="1">
        <v>4</v>
      </c>
      <c r="O48" s="1">
        <v>520</v>
      </c>
      <c r="P48" s="1" t="s">
        <v>487</v>
      </c>
      <c r="Q48" s="1" t="s">
        <v>643</v>
      </c>
      <c r="R48" s="1">
        <v>150007</v>
      </c>
      <c r="S48" s="1" t="b">
        <v>1</v>
      </c>
    </row>
    <row r="49" spans="1:19" x14ac:dyDescent="0.3">
      <c r="A49" s="1">
        <v>48</v>
      </c>
      <c r="B49" s="1" t="s">
        <v>49</v>
      </c>
      <c r="C49" s="1">
        <v>1938475</v>
      </c>
      <c r="D49" s="1" t="s">
        <v>204</v>
      </c>
      <c r="E49" s="1">
        <v>39</v>
      </c>
      <c r="F49" s="1" t="str">
        <f t="shared" si="0"/>
        <v>Adult</v>
      </c>
      <c r="G49" s="2">
        <v>44682</v>
      </c>
      <c r="H49" s="2" t="str">
        <f t="shared" si="1"/>
        <v>May</v>
      </c>
      <c r="I49" s="1" t="s">
        <v>210</v>
      </c>
      <c r="J49" s="1" t="s">
        <v>214</v>
      </c>
      <c r="K49" s="1" t="s">
        <v>267</v>
      </c>
      <c r="L49" s="1" t="s">
        <v>428</v>
      </c>
      <c r="M49" s="1" t="s">
        <v>432</v>
      </c>
      <c r="N49" s="1">
        <v>5</v>
      </c>
      <c r="O49" s="1">
        <v>1800</v>
      </c>
      <c r="P49" s="1" t="s">
        <v>488</v>
      </c>
      <c r="Q49" s="1" t="s">
        <v>644</v>
      </c>
      <c r="R49" s="1">
        <v>150008</v>
      </c>
      <c r="S49" s="1" t="b">
        <v>0</v>
      </c>
    </row>
    <row r="50" spans="1:19" x14ac:dyDescent="0.3">
      <c r="A50" s="1">
        <v>49</v>
      </c>
      <c r="B50" s="1" t="s">
        <v>50</v>
      </c>
      <c r="C50" s="1">
        <v>1849302</v>
      </c>
      <c r="D50" s="1" t="s">
        <v>205</v>
      </c>
      <c r="E50" s="1">
        <v>27</v>
      </c>
      <c r="F50" s="1" t="str">
        <f t="shared" si="0"/>
        <v>Teenager</v>
      </c>
      <c r="G50" s="2">
        <v>44683</v>
      </c>
      <c r="H50" s="2" t="str">
        <f t="shared" si="1"/>
        <v>May</v>
      </c>
      <c r="I50" s="1" t="s">
        <v>209</v>
      </c>
      <c r="J50" s="1" t="s">
        <v>215</v>
      </c>
      <c r="K50" s="1" t="s">
        <v>268</v>
      </c>
      <c r="L50" s="1" t="s">
        <v>421</v>
      </c>
      <c r="M50" s="1" t="s">
        <v>433</v>
      </c>
      <c r="N50" s="1">
        <v>1</v>
      </c>
      <c r="O50" s="1">
        <v>2650</v>
      </c>
      <c r="P50" s="1" t="s">
        <v>489</v>
      </c>
      <c r="Q50" s="1" t="s">
        <v>645</v>
      </c>
      <c r="R50" s="1">
        <v>150009</v>
      </c>
      <c r="S50" s="1" t="b">
        <v>1</v>
      </c>
    </row>
    <row r="51" spans="1:19" x14ac:dyDescent="0.3">
      <c r="A51" s="1">
        <v>50</v>
      </c>
      <c r="B51" s="1" t="s">
        <v>51</v>
      </c>
      <c r="C51" s="1">
        <v>5829304</v>
      </c>
      <c r="D51" s="1" t="s">
        <v>204</v>
      </c>
      <c r="E51" s="1">
        <v>42</v>
      </c>
      <c r="F51" s="1" t="str">
        <f t="shared" si="0"/>
        <v>Adult</v>
      </c>
      <c r="G51" s="2">
        <v>44684</v>
      </c>
      <c r="H51" s="2" t="str">
        <f t="shared" si="1"/>
        <v>May</v>
      </c>
      <c r="I51" s="1" t="s">
        <v>209</v>
      </c>
      <c r="J51" s="1" t="s">
        <v>216</v>
      </c>
      <c r="K51" s="1" t="s">
        <v>269</v>
      </c>
      <c r="L51" s="1" t="s">
        <v>422</v>
      </c>
      <c r="M51" s="1" t="s">
        <v>434</v>
      </c>
      <c r="N51" s="1">
        <v>2</v>
      </c>
      <c r="O51" s="1">
        <v>499</v>
      </c>
      <c r="P51" s="1" t="s">
        <v>490</v>
      </c>
      <c r="Q51" s="1" t="s">
        <v>646</v>
      </c>
      <c r="R51" s="1">
        <v>150010</v>
      </c>
      <c r="S51" s="1" t="b">
        <v>0</v>
      </c>
    </row>
    <row r="52" spans="1:19" x14ac:dyDescent="0.3">
      <c r="A52" s="1">
        <v>51</v>
      </c>
      <c r="B52" s="1" t="s">
        <v>52</v>
      </c>
      <c r="C52" s="1">
        <v>5039287</v>
      </c>
      <c r="D52" s="1" t="s">
        <v>204</v>
      </c>
      <c r="E52" s="1">
        <v>30</v>
      </c>
      <c r="F52" s="1" t="str">
        <f t="shared" si="0"/>
        <v>Adult</v>
      </c>
      <c r="G52" s="2">
        <v>44685</v>
      </c>
      <c r="H52" s="2" t="str">
        <f t="shared" si="1"/>
        <v>May</v>
      </c>
      <c r="I52" s="1" t="s">
        <v>209</v>
      </c>
      <c r="J52" s="1" t="s">
        <v>217</v>
      </c>
      <c r="K52" s="1" t="s">
        <v>270</v>
      </c>
      <c r="L52" s="1" t="s">
        <v>423</v>
      </c>
      <c r="M52" s="1" t="s">
        <v>435</v>
      </c>
      <c r="N52" s="1">
        <v>3</v>
      </c>
      <c r="O52" s="1">
        <v>1500</v>
      </c>
      <c r="P52" s="1" t="s">
        <v>491</v>
      </c>
      <c r="Q52" s="1" t="s">
        <v>647</v>
      </c>
      <c r="R52" s="1">
        <v>160001</v>
      </c>
      <c r="S52" s="1" t="b">
        <v>1</v>
      </c>
    </row>
    <row r="53" spans="1:19" x14ac:dyDescent="0.3">
      <c r="A53" s="1">
        <v>52</v>
      </c>
      <c r="B53" s="1" t="s">
        <v>53</v>
      </c>
      <c r="C53" s="1">
        <v>7392845</v>
      </c>
      <c r="D53" s="1" t="s">
        <v>204</v>
      </c>
      <c r="E53" s="1">
        <v>36</v>
      </c>
      <c r="F53" s="1" t="str">
        <f t="shared" si="0"/>
        <v>Adult</v>
      </c>
      <c r="G53" s="2">
        <v>44686</v>
      </c>
      <c r="H53" s="2" t="str">
        <f t="shared" si="1"/>
        <v>May</v>
      </c>
      <c r="I53" s="1" t="s">
        <v>209</v>
      </c>
      <c r="J53" s="1" t="s">
        <v>213</v>
      </c>
      <c r="K53" s="1" t="s">
        <v>271</v>
      </c>
      <c r="L53" s="1" t="s">
        <v>424</v>
      </c>
      <c r="M53" s="1" t="s">
        <v>436</v>
      </c>
      <c r="N53" s="1">
        <v>4</v>
      </c>
      <c r="O53" s="1">
        <v>3250</v>
      </c>
      <c r="P53" s="1" t="s">
        <v>492</v>
      </c>
      <c r="Q53" s="1" t="s">
        <v>648</v>
      </c>
      <c r="R53" s="1">
        <v>160002</v>
      </c>
      <c r="S53" s="1" t="b">
        <v>0</v>
      </c>
    </row>
    <row r="54" spans="1:19" x14ac:dyDescent="0.3">
      <c r="A54" s="1">
        <v>53</v>
      </c>
      <c r="B54" s="1" t="s">
        <v>54</v>
      </c>
      <c r="C54" s="1">
        <v>6029384</v>
      </c>
      <c r="D54" s="1" t="s">
        <v>204</v>
      </c>
      <c r="E54" s="1">
        <v>34</v>
      </c>
      <c r="F54" s="1" t="str">
        <f t="shared" si="0"/>
        <v>Adult</v>
      </c>
      <c r="G54" s="2">
        <v>44687</v>
      </c>
      <c r="H54" s="2" t="str">
        <f t="shared" si="1"/>
        <v>May</v>
      </c>
      <c r="I54" s="1" t="s">
        <v>211</v>
      </c>
      <c r="J54" s="1" t="s">
        <v>218</v>
      </c>
      <c r="K54" s="1" t="s">
        <v>272</v>
      </c>
      <c r="L54" s="1" t="s">
        <v>425</v>
      </c>
      <c r="M54" s="1" t="s">
        <v>437</v>
      </c>
      <c r="N54" s="1">
        <v>5</v>
      </c>
      <c r="O54" s="1">
        <v>395</v>
      </c>
      <c r="P54" s="1" t="s">
        <v>493</v>
      </c>
      <c r="Q54" s="1" t="s">
        <v>649</v>
      </c>
      <c r="R54" s="1">
        <v>160003</v>
      </c>
      <c r="S54" s="1" t="b">
        <v>1</v>
      </c>
    </row>
    <row r="55" spans="1:19" x14ac:dyDescent="0.3">
      <c r="A55" s="1">
        <v>54</v>
      </c>
      <c r="B55" s="1" t="s">
        <v>55</v>
      </c>
      <c r="C55" s="1">
        <v>1938472</v>
      </c>
      <c r="D55" s="1" t="s">
        <v>205</v>
      </c>
      <c r="E55" s="1">
        <v>41</v>
      </c>
      <c r="F55" s="1" t="str">
        <f t="shared" si="0"/>
        <v>Adult</v>
      </c>
      <c r="G55" s="2">
        <v>44688</v>
      </c>
      <c r="H55" s="2" t="str">
        <f t="shared" si="1"/>
        <v>May</v>
      </c>
      <c r="I55" s="1" t="s">
        <v>209</v>
      </c>
      <c r="J55" s="1" t="s">
        <v>214</v>
      </c>
      <c r="K55" s="1" t="s">
        <v>273</v>
      </c>
      <c r="L55" s="1" t="s">
        <v>426</v>
      </c>
      <c r="M55" s="1" t="s">
        <v>438</v>
      </c>
      <c r="N55" s="1">
        <v>1</v>
      </c>
      <c r="O55" s="1">
        <v>2100</v>
      </c>
      <c r="P55" s="1" t="s">
        <v>494</v>
      </c>
      <c r="Q55" s="1" t="s">
        <v>650</v>
      </c>
      <c r="R55" s="1">
        <v>160004</v>
      </c>
      <c r="S55" s="1" t="b">
        <v>0</v>
      </c>
    </row>
    <row r="56" spans="1:19" x14ac:dyDescent="0.3">
      <c r="A56" s="1">
        <v>55</v>
      </c>
      <c r="B56" s="1" t="s">
        <v>56</v>
      </c>
      <c r="C56" s="1">
        <v>8302947</v>
      </c>
      <c r="D56" s="1" t="s">
        <v>204</v>
      </c>
      <c r="E56" s="1">
        <v>25</v>
      </c>
      <c r="F56" s="1" t="str">
        <f t="shared" si="0"/>
        <v>Teenager</v>
      </c>
      <c r="G56" s="2">
        <v>44689</v>
      </c>
      <c r="H56" s="2" t="str">
        <f t="shared" si="1"/>
        <v>May</v>
      </c>
      <c r="I56" s="1" t="s">
        <v>209</v>
      </c>
      <c r="J56" s="1" t="s">
        <v>215</v>
      </c>
      <c r="K56" s="1" t="s">
        <v>274</v>
      </c>
      <c r="L56" s="1" t="s">
        <v>427</v>
      </c>
      <c r="M56" s="1" t="s">
        <v>430</v>
      </c>
      <c r="N56" s="1">
        <v>2</v>
      </c>
      <c r="O56" s="1">
        <v>2750</v>
      </c>
      <c r="P56" s="1" t="s">
        <v>495</v>
      </c>
      <c r="Q56" s="1" t="s">
        <v>651</v>
      </c>
      <c r="R56" s="1">
        <v>160005</v>
      </c>
      <c r="S56" s="1" t="b">
        <v>1</v>
      </c>
    </row>
    <row r="57" spans="1:19" x14ac:dyDescent="0.3">
      <c r="A57" s="1">
        <v>56</v>
      </c>
      <c r="B57" s="1" t="s">
        <v>57</v>
      </c>
      <c r="C57" s="1">
        <v>1948203</v>
      </c>
      <c r="D57" s="1" t="s">
        <v>204</v>
      </c>
      <c r="E57" s="1">
        <v>38</v>
      </c>
      <c r="F57" s="1" t="str">
        <f t="shared" si="0"/>
        <v>Adult</v>
      </c>
      <c r="G57" s="2">
        <v>44690</v>
      </c>
      <c r="H57" s="2" t="str">
        <f t="shared" si="1"/>
        <v>May</v>
      </c>
      <c r="I57" s="1" t="s">
        <v>209</v>
      </c>
      <c r="J57" s="1" t="s">
        <v>213</v>
      </c>
      <c r="K57" s="1" t="s">
        <v>275</v>
      </c>
      <c r="L57" s="1" t="s">
        <v>428</v>
      </c>
      <c r="M57" s="1" t="s">
        <v>431</v>
      </c>
      <c r="N57" s="1">
        <v>3</v>
      </c>
      <c r="O57" s="1">
        <v>520</v>
      </c>
      <c r="P57" s="1" t="s">
        <v>496</v>
      </c>
      <c r="Q57" s="1" t="s">
        <v>652</v>
      </c>
      <c r="R57" s="1">
        <v>160006</v>
      </c>
      <c r="S57" s="1" t="b">
        <v>0</v>
      </c>
    </row>
    <row r="58" spans="1:19" x14ac:dyDescent="0.3">
      <c r="A58" s="1">
        <v>57</v>
      </c>
      <c r="B58" s="1" t="s">
        <v>58</v>
      </c>
      <c r="C58" s="1">
        <v>2938475</v>
      </c>
      <c r="D58" s="1" t="s">
        <v>204</v>
      </c>
      <c r="E58" s="1">
        <v>29</v>
      </c>
      <c r="F58" s="1" t="str">
        <f t="shared" si="0"/>
        <v>Teenager</v>
      </c>
      <c r="G58" s="2">
        <v>44691</v>
      </c>
      <c r="H58" s="2" t="str">
        <f t="shared" si="1"/>
        <v>May</v>
      </c>
      <c r="I58" s="1" t="s">
        <v>209</v>
      </c>
      <c r="J58" s="1" t="s">
        <v>216</v>
      </c>
      <c r="K58" s="1" t="s">
        <v>276</v>
      </c>
      <c r="L58" s="1" t="s">
        <v>421</v>
      </c>
      <c r="M58" s="1" t="s">
        <v>432</v>
      </c>
      <c r="N58" s="1">
        <v>4</v>
      </c>
      <c r="O58" s="1">
        <v>1600</v>
      </c>
      <c r="P58" s="1" t="s">
        <v>497</v>
      </c>
      <c r="Q58" s="1" t="s">
        <v>653</v>
      </c>
      <c r="R58" s="1">
        <v>160007</v>
      </c>
      <c r="S58" s="1" t="b">
        <v>1</v>
      </c>
    </row>
    <row r="59" spans="1:19" x14ac:dyDescent="0.3">
      <c r="A59" s="1">
        <v>58</v>
      </c>
      <c r="B59" s="1" t="s">
        <v>59</v>
      </c>
      <c r="C59" s="1">
        <v>9029384</v>
      </c>
      <c r="D59" s="1" t="s">
        <v>204</v>
      </c>
      <c r="E59" s="1">
        <v>44</v>
      </c>
      <c r="F59" s="1" t="str">
        <f t="shared" si="0"/>
        <v>Adult</v>
      </c>
      <c r="G59" s="2">
        <v>44741</v>
      </c>
      <c r="H59" s="2" t="str">
        <f t="shared" si="1"/>
        <v>Jun</v>
      </c>
      <c r="I59" s="1" t="s">
        <v>210</v>
      </c>
      <c r="J59" s="1" t="s">
        <v>217</v>
      </c>
      <c r="K59" s="1" t="s">
        <v>277</v>
      </c>
      <c r="L59" s="1" t="s">
        <v>422</v>
      </c>
      <c r="M59" s="1" t="s">
        <v>433</v>
      </c>
      <c r="N59" s="1">
        <v>5</v>
      </c>
      <c r="O59" s="1">
        <v>2850</v>
      </c>
      <c r="P59" s="1" t="s">
        <v>498</v>
      </c>
      <c r="Q59" s="1" t="s">
        <v>654</v>
      </c>
      <c r="R59" s="1">
        <v>160008</v>
      </c>
      <c r="S59" s="1" t="b">
        <v>0</v>
      </c>
    </row>
    <row r="60" spans="1:19" x14ac:dyDescent="0.3">
      <c r="A60" s="1">
        <v>59</v>
      </c>
      <c r="B60" s="1" t="s">
        <v>60</v>
      </c>
      <c r="C60" s="1">
        <v>8392047</v>
      </c>
      <c r="D60" s="1" t="s">
        <v>205</v>
      </c>
      <c r="E60" s="1">
        <v>32</v>
      </c>
      <c r="F60" s="1" t="str">
        <f t="shared" si="0"/>
        <v>Adult</v>
      </c>
      <c r="G60" s="2">
        <v>44742</v>
      </c>
      <c r="H60" s="2" t="str">
        <f t="shared" si="1"/>
        <v>Jun</v>
      </c>
      <c r="I60" s="1" t="s">
        <v>209</v>
      </c>
      <c r="J60" s="1" t="s">
        <v>218</v>
      </c>
      <c r="K60" s="1" t="s">
        <v>278</v>
      </c>
      <c r="L60" s="1" t="s">
        <v>423</v>
      </c>
      <c r="M60" s="1" t="s">
        <v>434</v>
      </c>
      <c r="N60" s="1">
        <v>1</v>
      </c>
      <c r="O60" s="1">
        <v>450</v>
      </c>
      <c r="P60" s="1" t="s">
        <v>499</v>
      </c>
      <c r="Q60" s="1" t="s">
        <v>655</v>
      </c>
      <c r="R60" s="1">
        <v>160009</v>
      </c>
      <c r="S60" s="1" t="b">
        <v>1</v>
      </c>
    </row>
    <row r="61" spans="1:19" x14ac:dyDescent="0.3">
      <c r="A61" s="1">
        <v>60</v>
      </c>
      <c r="B61" s="1" t="s">
        <v>61</v>
      </c>
      <c r="C61" s="1">
        <v>4938201</v>
      </c>
      <c r="D61" s="1" t="s">
        <v>204</v>
      </c>
      <c r="E61" s="1">
        <v>37</v>
      </c>
      <c r="F61" s="1" t="str">
        <f t="shared" si="0"/>
        <v>Adult</v>
      </c>
      <c r="G61" s="2">
        <v>44741</v>
      </c>
      <c r="H61" s="2" t="str">
        <f t="shared" si="1"/>
        <v>Jun</v>
      </c>
      <c r="I61" s="1" t="s">
        <v>209</v>
      </c>
      <c r="J61" s="1" t="s">
        <v>213</v>
      </c>
      <c r="K61" s="1" t="s">
        <v>279</v>
      </c>
      <c r="L61" s="1" t="s">
        <v>424</v>
      </c>
      <c r="M61" s="1" t="s">
        <v>435</v>
      </c>
      <c r="N61" s="1">
        <v>2</v>
      </c>
      <c r="O61" s="1">
        <v>1900</v>
      </c>
      <c r="P61" s="1" t="s">
        <v>500</v>
      </c>
      <c r="Q61" s="1" t="s">
        <v>656</v>
      </c>
      <c r="R61" s="1">
        <v>160010</v>
      </c>
      <c r="S61" s="1" t="b">
        <v>0</v>
      </c>
    </row>
    <row r="62" spans="1:19" x14ac:dyDescent="0.3">
      <c r="A62" s="1">
        <v>61</v>
      </c>
      <c r="B62" s="1" t="s">
        <v>62</v>
      </c>
      <c r="C62" s="1">
        <v>5829307</v>
      </c>
      <c r="D62" s="1" t="s">
        <v>204</v>
      </c>
      <c r="E62" s="1">
        <v>28</v>
      </c>
      <c r="F62" s="1" t="str">
        <f t="shared" si="0"/>
        <v>Teenager</v>
      </c>
      <c r="G62" s="2">
        <v>44742</v>
      </c>
      <c r="H62" s="2" t="str">
        <f t="shared" si="1"/>
        <v>Jun</v>
      </c>
      <c r="I62" s="1" t="s">
        <v>209</v>
      </c>
      <c r="J62" s="1" t="s">
        <v>214</v>
      </c>
      <c r="K62" s="1" t="s">
        <v>280</v>
      </c>
      <c r="L62" s="1" t="s">
        <v>425</v>
      </c>
      <c r="M62" s="1" t="s">
        <v>436</v>
      </c>
      <c r="N62" s="1">
        <v>3</v>
      </c>
      <c r="O62" s="1">
        <v>3300</v>
      </c>
      <c r="P62" s="1" t="s">
        <v>501</v>
      </c>
      <c r="Q62" s="1" t="s">
        <v>638</v>
      </c>
      <c r="R62" s="1">
        <v>170001</v>
      </c>
      <c r="S62" s="1" t="b">
        <v>1</v>
      </c>
    </row>
    <row r="63" spans="1:19" x14ac:dyDescent="0.3">
      <c r="A63" s="1">
        <v>62</v>
      </c>
      <c r="B63" s="1" t="s">
        <v>63</v>
      </c>
      <c r="C63" s="1">
        <v>3749208</v>
      </c>
      <c r="D63" s="1" t="s">
        <v>204</v>
      </c>
      <c r="E63" s="1">
        <v>40</v>
      </c>
      <c r="F63" s="1" t="str">
        <f t="shared" si="0"/>
        <v>Adult</v>
      </c>
      <c r="G63" s="2">
        <v>44743</v>
      </c>
      <c r="H63" s="2" t="str">
        <f t="shared" si="1"/>
        <v>Jul</v>
      </c>
      <c r="I63" s="1" t="s">
        <v>209</v>
      </c>
      <c r="J63" s="1" t="s">
        <v>215</v>
      </c>
      <c r="K63" s="1" t="s">
        <v>281</v>
      </c>
      <c r="L63" s="1" t="s">
        <v>426</v>
      </c>
      <c r="M63" s="1" t="s">
        <v>437</v>
      </c>
      <c r="N63" s="1">
        <v>4</v>
      </c>
      <c r="O63" s="1">
        <v>520</v>
      </c>
      <c r="P63" s="1" t="s">
        <v>502</v>
      </c>
      <c r="Q63" s="1" t="s">
        <v>441</v>
      </c>
      <c r="R63" s="1">
        <v>170002</v>
      </c>
      <c r="S63" s="1" t="b">
        <v>0</v>
      </c>
    </row>
    <row r="64" spans="1:19" x14ac:dyDescent="0.3">
      <c r="A64" s="1">
        <v>63</v>
      </c>
      <c r="B64" s="1" t="s">
        <v>64</v>
      </c>
      <c r="C64" s="1">
        <v>6903841</v>
      </c>
      <c r="D64" s="1" t="s">
        <v>204</v>
      </c>
      <c r="E64" s="1">
        <v>26</v>
      </c>
      <c r="F64" s="1" t="str">
        <f t="shared" si="0"/>
        <v>Teenager</v>
      </c>
      <c r="G64" s="2">
        <v>44744</v>
      </c>
      <c r="H64" s="2" t="str">
        <f t="shared" si="1"/>
        <v>Jul</v>
      </c>
      <c r="I64" s="1" t="s">
        <v>211</v>
      </c>
      <c r="J64" s="1" t="s">
        <v>216</v>
      </c>
      <c r="K64" s="1" t="s">
        <v>282</v>
      </c>
      <c r="L64" s="1" t="s">
        <v>427</v>
      </c>
      <c r="M64" s="1" t="s">
        <v>438</v>
      </c>
      <c r="N64" s="1">
        <v>5</v>
      </c>
      <c r="O64" s="1">
        <v>1700</v>
      </c>
      <c r="P64" s="1" t="s">
        <v>503</v>
      </c>
      <c r="Q64" s="1" t="s">
        <v>639</v>
      </c>
      <c r="R64" s="1">
        <v>170003</v>
      </c>
      <c r="S64" s="1" t="b">
        <v>1</v>
      </c>
    </row>
    <row r="65" spans="1:19" x14ac:dyDescent="0.3">
      <c r="A65" s="1">
        <v>64</v>
      </c>
      <c r="B65" s="1" t="s">
        <v>65</v>
      </c>
      <c r="C65" s="1">
        <v>2719384</v>
      </c>
      <c r="D65" s="1" t="s">
        <v>205</v>
      </c>
      <c r="E65" s="1">
        <v>35</v>
      </c>
      <c r="F65" s="1" t="str">
        <f t="shared" si="0"/>
        <v>Adult</v>
      </c>
      <c r="G65" s="2">
        <v>44745</v>
      </c>
      <c r="H65" s="2" t="str">
        <f t="shared" si="1"/>
        <v>Jul</v>
      </c>
      <c r="I65" s="1" t="s">
        <v>209</v>
      </c>
      <c r="J65" s="1" t="s">
        <v>217</v>
      </c>
      <c r="K65" s="1" t="s">
        <v>283</v>
      </c>
      <c r="L65" s="1" t="s">
        <v>428</v>
      </c>
      <c r="M65" s="1" t="s">
        <v>430</v>
      </c>
      <c r="N65" s="1">
        <v>1</v>
      </c>
      <c r="O65" s="1">
        <v>2550</v>
      </c>
      <c r="P65" s="1" t="s">
        <v>504</v>
      </c>
      <c r="Q65" s="1" t="s">
        <v>640</v>
      </c>
      <c r="R65" s="1">
        <v>170004</v>
      </c>
      <c r="S65" s="1" t="b">
        <v>0</v>
      </c>
    </row>
    <row r="66" spans="1:19" x14ac:dyDescent="0.3">
      <c r="A66" s="1">
        <v>65</v>
      </c>
      <c r="B66" s="1" t="s">
        <v>66</v>
      </c>
      <c r="C66" s="1">
        <v>5048392</v>
      </c>
      <c r="D66" s="1" t="s">
        <v>204</v>
      </c>
      <c r="E66" s="1">
        <v>33</v>
      </c>
      <c r="F66" s="1" t="str">
        <f t="shared" si="0"/>
        <v>Adult</v>
      </c>
      <c r="G66" s="2">
        <v>44746</v>
      </c>
      <c r="H66" s="2" t="str">
        <f t="shared" si="1"/>
        <v>Jul</v>
      </c>
      <c r="I66" s="1" t="s">
        <v>209</v>
      </c>
      <c r="J66" s="1" t="s">
        <v>213</v>
      </c>
      <c r="K66" s="1" t="s">
        <v>284</v>
      </c>
      <c r="L66" s="1" t="s">
        <v>421</v>
      </c>
      <c r="M66" s="1" t="s">
        <v>431</v>
      </c>
      <c r="N66" s="1">
        <v>2</v>
      </c>
      <c r="O66" s="1">
        <v>399</v>
      </c>
      <c r="P66" s="1" t="s">
        <v>505</v>
      </c>
      <c r="Q66" s="1" t="s">
        <v>641</v>
      </c>
      <c r="R66" s="1">
        <v>170005</v>
      </c>
      <c r="S66" s="1" t="b">
        <v>1</v>
      </c>
    </row>
    <row r="67" spans="1:19" x14ac:dyDescent="0.3">
      <c r="A67" s="1">
        <v>66</v>
      </c>
      <c r="B67" s="1" t="s">
        <v>67</v>
      </c>
      <c r="C67" s="1">
        <v>7384950</v>
      </c>
      <c r="D67" s="1" t="s">
        <v>204</v>
      </c>
      <c r="E67" s="1">
        <v>59</v>
      </c>
      <c r="F67" s="1" t="str">
        <f t="shared" ref="F67:F130" si="2">IF(E67&gt;=50,"Senior",IF(E67&gt;=30,"Adult","Teenager"))</f>
        <v>Senior</v>
      </c>
      <c r="G67" s="2">
        <v>44747</v>
      </c>
      <c r="H67" s="2" t="str">
        <f t="shared" ref="H67:H130" si="3">TEXT(G67,"mmm")</f>
        <v>Jul</v>
      </c>
      <c r="I67" s="1" t="s">
        <v>209</v>
      </c>
      <c r="J67" s="1" t="s">
        <v>218</v>
      </c>
      <c r="K67" s="1" t="s">
        <v>285</v>
      </c>
      <c r="L67" s="1" t="s">
        <v>422</v>
      </c>
      <c r="M67" s="1" t="s">
        <v>432</v>
      </c>
      <c r="N67" s="1">
        <v>3</v>
      </c>
      <c r="O67" s="1">
        <v>1400</v>
      </c>
      <c r="P67" s="1" t="s">
        <v>506</v>
      </c>
      <c r="Q67" s="1" t="s">
        <v>642</v>
      </c>
      <c r="R67" s="1">
        <v>170006</v>
      </c>
      <c r="S67" s="1" t="b">
        <v>0</v>
      </c>
    </row>
    <row r="68" spans="1:19" x14ac:dyDescent="0.3">
      <c r="A68" s="1">
        <v>67</v>
      </c>
      <c r="B68" s="1" t="s">
        <v>68</v>
      </c>
      <c r="C68" s="1">
        <v>1829473</v>
      </c>
      <c r="D68" s="1" t="s">
        <v>204</v>
      </c>
      <c r="E68" s="1">
        <v>55</v>
      </c>
      <c r="F68" s="1" t="str">
        <f t="shared" si="2"/>
        <v>Senior</v>
      </c>
      <c r="G68" s="2">
        <v>44748</v>
      </c>
      <c r="H68" s="2" t="str">
        <f t="shared" si="3"/>
        <v>Jul</v>
      </c>
      <c r="I68" s="1" t="s">
        <v>209</v>
      </c>
      <c r="J68" s="1" t="s">
        <v>214</v>
      </c>
      <c r="K68" s="1" t="s">
        <v>286</v>
      </c>
      <c r="L68" s="1" t="s">
        <v>423</v>
      </c>
      <c r="M68" s="1" t="s">
        <v>433</v>
      </c>
      <c r="N68" s="1">
        <v>4</v>
      </c>
      <c r="O68" s="1">
        <v>3000</v>
      </c>
      <c r="P68" s="1" t="s">
        <v>507</v>
      </c>
      <c r="Q68" s="1" t="s">
        <v>643</v>
      </c>
      <c r="R68" s="1">
        <v>170007</v>
      </c>
      <c r="S68" s="1" t="b">
        <v>1</v>
      </c>
    </row>
    <row r="69" spans="1:19" x14ac:dyDescent="0.3">
      <c r="A69" s="1">
        <v>68</v>
      </c>
      <c r="B69" s="1" t="s">
        <v>69</v>
      </c>
      <c r="C69" s="1">
        <v>6203849</v>
      </c>
      <c r="D69" s="1" t="s">
        <v>204</v>
      </c>
      <c r="E69" s="1">
        <v>42</v>
      </c>
      <c r="F69" s="1" t="str">
        <f t="shared" si="2"/>
        <v>Adult</v>
      </c>
      <c r="G69" s="2">
        <v>44749</v>
      </c>
      <c r="H69" s="2" t="str">
        <f t="shared" si="3"/>
        <v>Jul</v>
      </c>
      <c r="I69" s="1" t="s">
        <v>210</v>
      </c>
      <c r="J69" s="1" t="s">
        <v>215</v>
      </c>
      <c r="K69" s="1" t="s">
        <v>287</v>
      </c>
      <c r="L69" s="1" t="s">
        <v>424</v>
      </c>
      <c r="M69" s="1" t="s">
        <v>434</v>
      </c>
      <c r="N69" s="1">
        <v>5</v>
      </c>
      <c r="O69" s="1">
        <v>495</v>
      </c>
      <c r="P69" s="1" t="s">
        <v>508</v>
      </c>
      <c r="Q69" s="1" t="s">
        <v>644</v>
      </c>
      <c r="R69" s="1">
        <v>170008</v>
      </c>
      <c r="S69" s="1" t="b">
        <v>0</v>
      </c>
    </row>
    <row r="70" spans="1:19" x14ac:dyDescent="0.3">
      <c r="A70" s="1">
        <v>69</v>
      </c>
      <c r="B70" s="1" t="s">
        <v>70</v>
      </c>
      <c r="C70" s="1">
        <v>3948207</v>
      </c>
      <c r="D70" s="1" t="s">
        <v>205</v>
      </c>
      <c r="E70" s="1">
        <v>30</v>
      </c>
      <c r="F70" s="1" t="str">
        <f t="shared" si="2"/>
        <v>Adult</v>
      </c>
      <c r="G70" s="2">
        <v>44750</v>
      </c>
      <c r="H70" s="2" t="str">
        <f t="shared" si="3"/>
        <v>Jul</v>
      </c>
      <c r="I70" s="1" t="s">
        <v>209</v>
      </c>
      <c r="J70" s="1" t="s">
        <v>213</v>
      </c>
      <c r="K70" s="1" t="s">
        <v>288</v>
      </c>
      <c r="L70" s="1" t="s">
        <v>425</v>
      </c>
      <c r="M70" s="1" t="s">
        <v>435</v>
      </c>
      <c r="N70" s="1">
        <v>1</v>
      </c>
      <c r="O70" s="1">
        <v>1800</v>
      </c>
      <c r="P70" s="1" t="s">
        <v>509</v>
      </c>
      <c r="Q70" s="1" t="s">
        <v>645</v>
      </c>
      <c r="R70" s="1">
        <v>170009</v>
      </c>
      <c r="S70" s="1" t="b">
        <v>1</v>
      </c>
    </row>
    <row r="71" spans="1:19" x14ac:dyDescent="0.3">
      <c r="A71" s="1">
        <v>70</v>
      </c>
      <c r="B71" s="1" t="s">
        <v>71</v>
      </c>
      <c r="C71" s="1">
        <v>5812039</v>
      </c>
      <c r="D71" s="1" t="s">
        <v>204</v>
      </c>
      <c r="E71" s="1">
        <v>36</v>
      </c>
      <c r="F71" s="1" t="str">
        <f t="shared" si="2"/>
        <v>Adult</v>
      </c>
      <c r="G71" s="2">
        <v>44751</v>
      </c>
      <c r="H71" s="2" t="str">
        <f t="shared" si="3"/>
        <v>Jul</v>
      </c>
      <c r="I71" s="1" t="s">
        <v>209</v>
      </c>
      <c r="J71" s="1" t="s">
        <v>216</v>
      </c>
      <c r="K71" s="1" t="s">
        <v>289</v>
      </c>
      <c r="L71" s="1" t="s">
        <v>426</v>
      </c>
      <c r="M71" s="1" t="s">
        <v>436</v>
      </c>
      <c r="N71" s="1">
        <v>2</v>
      </c>
      <c r="O71" s="1">
        <v>2725</v>
      </c>
      <c r="P71" s="1" t="s">
        <v>498</v>
      </c>
      <c r="Q71" s="1" t="s">
        <v>646</v>
      </c>
      <c r="R71" s="1">
        <v>170010</v>
      </c>
      <c r="S71" s="1" t="b">
        <v>0</v>
      </c>
    </row>
    <row r="72" spans="1:19" x14ac:dyDescent="0.3">
      <c r="A72" s="1">
        <v>71</v>
      </c>
      <c r="B72" s="1" t="s">
        <v>72</v>
      </c>
      <c r="C72" s="1">
        <v>4938205</v>
      </c>
      <c r="D72" s="1" t="s">
        <v>204</v>
      </c>
      <c r="E72" s="1">
        <v>53</v>
      </c>
      <c r="F72" s="1" t="str">
        <f t="shared" si="2"/>
        <v>Senior</v>
      </c>
      <c r="G72" s="2">
        <v>44752</v>
      </c>
      <c r="H72" s="2" t="str">
        <f t="shared" si="3"/>
        <v>Jul</v>
      </c>
      <c r="I72" s="1" t="s">
        <v>209</v>
      </c>
      <c r="J72" s="1" t="s">
        <v>217</v>
      </c>
      <c r="K72" s="1" t="s">
        <v>290</v>
      </c>
      <c r="L72" s="1" t="s">
        <v>427</v>
      </c>
      <c r="M72" s="1" t="s">
        <v>437</v>
      </c>
      <c r="N72" s="1">
        <v>3</v>
      </c>
      <c r="O72" s="1">
        <v>410</v>
      </c>
      <c r="P72" s="1" t="s">
        <v>510</v>
      </c>
      <c r="Q72" s="1" t="s">
        <v>647</v>
      </c>
      <c r="R72" s="1">
        <v>180001</v>
      </c>
      <c r="S72" s="1" t="b">
        <v>1</v>
      </c>
    </row>
    <row r="73" spans="1:19" x14ac:dyDescent="0.3">
      <c r="A73" s="1">
        <v>72</v>
      </c>
      <c r="B73" s="1" t="s">
        <v>73</v>
      </c>
      <c r="C73" s="1">
        <v>7293841</v>
      </c>
      <c r="D73" s="1" t="s">
        <v>204</v>
      </c>
      <c r="E73" s="1">
        <v>41</v>
      </c>
      <c r="F73" s="1" t="str">
        <f t="shared" si="2"/>
        <v>Adult</v>
      </c>
      <c r="G73" s="2">
        <v>44753</v>
      </c>
      <c r="H73" s="2" t="str">
        <f t="shared" si="3"/>
        <v>Jul</v>
      </c>
      <c r="I73" s="1" t="s">
        <v>209</v>
      </c>
      <c r="J73" s="1" t="s">
        <v>218</v>
      </c>
      <c r="K73" s="1" t="s">
        <v>291</v>
      </c>
      <c r="L73" s="1" t="s">
        <v>428</v>
      </c>
      <c r="M73" s="1" t="s">
        <v>438</v>
      </c>
      <c r="N73" s="1">
        <v>4</v>
      </c>
      <c r="O73" s="1">
        <v>1550</v>
      </c>
      <c r="P73" s="1" t="s">
        <v>511</v>
      </c>
      <c r="Q73" s="1" t="s">
        <v>648</v>
      </c>
      <c r="R73" s="1">
        <v>180002</v>
      </c>
      <c r="S73" s="1" t="b">
        <v>0</v>
      </c>
    </row>
    <row r="74" spans="1:19" x14ac:dyDescent="0.3">
      <c r="A74" s="1">
        <v>73</v>
      </c>
      <c r="B74" s="1" t="s">
        <v>74</v>
      </c>
      <c r="C74" s="1">
        <v>3849203</v>
      </c>
      <c r="D74" s="1" t="s">
        <v>204</v>
      </c>
      <c r="E74" s="1">
        <v>25</v>
      </c>
      <c r="F74" s="1" t="str">
        <f t="shared" si="2"/>
        <v>Teenager</v>
      </c>
      <c r="G74" s="2">
        <v>44754</v>
      </c>
      <c r="H74" s="2" t="str">
        <f t="shared" si="3"/>
        <v>Jul</v>
      </c>
      <c r="I74" s="1" t="s">
        <v>211</v>
      </c>
      <c r="J74" s="1" t="s">
        <v>213</v>
      </c>
      <c r="K74" s="1" t="s">
        <v>292</v>
      </c>
      <c r="L74" s="1" t="s">
        <v>421</v>
      </c>
      <c r="M74" s="1" t="s">
        <v>430</v>
      </c>
      <c r="N74" s="1">
        <v>5</v>
      </c>
      <c r="O74" s="1">
        <v>3150</v>
      </c>
      <c r="P74" s="1" t="s">
        <v>512</v>
      </c>
      <c r="Q74" s="1" t="s">
        <v>649</v>
      </c>
      <c r="R74" s="1">
        <v>180003</v>
      </c>
      <c r="S74" s="1" t="b">
        <v>1</v>
      </c>
    </row>
    <row r="75" spans="1:19" x14ac:dyDescent="0.3">
      <c r="A75" s="1">
        <v>74</v>
      </c>
      <c r="B75" s="1" t="s">
        <v>75</v>
      </c>
      <c r="C75" s="1">
        <v>5029387</v>
      </c>
      <c r="D75" s="1" t="s">
        <v>205</v>
      </c>
      <c r="E75" s="1">
        <v>38</v>
      </c>
      <c r="F75" s="1" t="str">
        <f t="shared" si="2"/>
        <v>Adult</v>
      </c>
      <c r="G75" s="2">
        <v>44739</v>
      </c>
      <c r="H75" s="2" t="str">
        <f t="shared" si="3"/>
        <v>Jun</v>
      </c>
      <c r="I75" s="1" t="s">
        <v>211</v>
      </c>
      <c r="J75" s="1" t="s">
        <v>214</v>
      </c>
      <c r="K75" s="1" t="s">
        <v>293</v>
      </c>
      <c r="L75" s="1" t="s">
        <v>422</v>
      </c>
      <c r="M75" s="1" t="s">
        <v>431</v>
      </c>
      <c r="N75" s="1">
        <v>1</v>
      </c>
      <c r="O75" s="1">
        <v>425</v>
      </c>
      <c r="P75" s="1" t="s">
        <v>513</v>
      </c>
      <c r="Q75" s="1" t="s">
        <v>650</v>
      </c>
      <c r="R75" s="1">
        <v>180004</v>
      </c>
      <c r="S75" s="1" t="b">
        <v>0</v>
      </c>
    </row>
    <row r="76" spans="1:19" x14ac:dyDescent="0.3">
      <c r="A76" s="1">
        <v>75</v>
      </c>
      <c r="B76" s="1" t="s">
        <v>76</v>
      </c>
      <c r="C76" s="1">
        <v>8392041</v>
      </c>
      <c r="D76" s="1" t="s">
        <v>204</v>
      </c>
      <c r="E76" s="1">
        <v>29</v>
      </c>
      <c r="F76" s="1" t="str">
        <f t="shared" si="2"/>
        <v>Teenager</v>
      </c>
      <c r="G76" s="2">
        <v>44740</v>
      </c>
      <c r="H76" s="2" t="str">
        <f t="shared" si="3"/>
        <v>Jun</v>
      </c>
      <c r="I76" s="1" t="s">
        <v>211</v>
      </c>
      <c r="J76" s="1" t="s">
        <v>215</v>
      </c>
      <c r="K76" s="1" t="s">
        <v>294</v>
      </c>
      <c r="L76" s="1" t="s">
        <v>423</v>
      </c>
      <c r="M76" s="1" t="s">
        <v>432</v>
      </c>
      <c r="N76" s="1">
        <v>2</v>
      </c>
      <c r="O76" s="1">
        <v>2000</v>
      </c>
      <c r="P76" s="1" t="s">
        <v>514</v>
      </c>
      <c r="Q76" s="1" t="s">
        <v>651</v>
      </c>
      <c r="R76" s="1">
        <v>180005</v>
      </c>
      <c r="S76" s="1" t="b">
        <v>1</v>
      </c>
    </row>
    <row r="77" spans="1:19" x14ac:dyDescent="0.3">
      <c r="A77" s="1">
        <v>76</v>
      </c>
      <c r="B77" s="1" t="s">
        <v>77</v>
      </c>
      <c r="C77" s="1">
        <v>1749203</v>
      </c>
      <c r="D77" s="1" t="s">
        <v>204</v>
      </c>
      <c r="E77" s="1">
        <v>43</v>
      </c>
      <c r="F77" s="1" t="str">
        <f t="shared" si="2"/>
        <v>Adult</v>
      </c>
      <c r="G77" s="2">
        <v>44741</v>
      </c>
      <c r="H77" s="2" t="str">
        <f t="shared" si="3"/>
        <v>Jun</v>
      </c>
      <c r="I77" s="1" t="s">
        <v>209</v>
      </c>
      <c r="J77" s="1" t="s">
        <v>216</v>
      </c>
      <c r="K77" s="1" t="s">
        <v>295</v>
      </c>
      <c r="L77" s="1" t="s">
        <v>424</v>
      </c>
      <c r="M77" s="1" t="s">
        <v>433</v>
      </c>
      <c r="N77" s="1">
        <v>3</v>
      </c>
      <c r="O77" s="1">
        <v>2700</v>
      </c>
      <c r="P77" s="1" t="s">
        <v>515</v>
      </c>
      <c r="Q77" s="1" t="s">
        <v>652</v>
      </c>
      <c r="R77" s="1">
        <v>180006</v>
      </c>
      <c r="S77" s="1" t="b">
        <v>0</v>
      </c>
    </row>
    <row r="78" spans="1:19" x14ac:dyDescent="0.3">
      <c r="A78" s="1">
        <v>77</v>
      </c>
      <c r="B78" s="1" t="s">
        <v>78</v>
      </c>
      <c r="C78" s="1">
        <v>5839204</v>
      </c>
      <c r="D78" s="1" t="s">
        <v>204</v>
      </c>
      <c r="E78" s="1">
        <v>32</v>
      </c>
      <c r="F78" s="1" t="str">
        <f t="shared" si="2"/>
        <v>Adult</v>
      </c>
      <c r="G78" s="2">
        <v>44742</v>
      </c>
      <c r="H78" s="2" t="str">
        <f t="shared" si="3"/>
        <v>Jun</v>
      </c>
      <c r="I78" s="1" t="s">
        <v>209</v>
      </c>
      <c r="J78" s="1" t="s">
        <v>217</v>
      </c>
      <c r="K78" s="1" t="s">
        <v>296</v>
      </c>
      <c r="L78" s="1" t="s">
        <v>425</v>
      </c>
      <c r="M78" s="1" t="s">
        <v>434</v>
      </c>
      <c r="N78" s="1">
        <v>4</v>
      </c>
      <c r="O78" s="1">
        <v>520</v>
      </c>
      <c r="P78" s="1" t="s">
        <v>516</v>
      </c>
      <c r="Q78" s="1" t="s">
        <v>653</v>
      </c>
      <c r="R78" s="1">
        <v>180007</v>
      </c>
      <c r="S78" s="1" t="b">
        <v>1</v>
      </c>
    </row>
    <row r="79" spans="1:19" x14ac:dyDescent="0.3">
      <c r="A79" s="1">
        <v>78</v>
      </c>
      <c r="B79" s="1" t="s">
        <v>79</v>
      </c>
      <c r="C79" s="1">
        <v>4938572</v>
      </c>
      <c r="D79" s="1" t="s">
        <v>204</v>
      </c>
      <c r="E79" s="1">
        <v>37</v>
      </c>
      <c r="F79" s="1" t="str">
        <f t="shared" si="2"/>
        <v>Adult</v>
      </c>
      <c r="G79" s="2">
        <v>44743</v>
      </c>
      <c r="H79" s="2" t="str">
        <f t="shared" si="3"/>
        <v>Jul</v>
      </c>
      <c r="I79" s="1" t="s">
        <v>210</v>
      </c>
      <c r="J79" s="1" t="s">
        <v>213</v>
      </c>
      <c r="K79" s="1" t="s">
        <v>297</v>
      </c>
      <c r="L79" s="1" t="s">
        <v>426</v>
      </c>
      <c r="M79" s="1" t="s">
        <v>435</v>
      </c>
      <c r="N79" s="1">
        <v>5</v>
      </c>
      <c r="O79" s="1">
        <v>1750</v>
      </c>
      <c r="P79" s="1" t="s">
        <v>517</v>
      </c>
      <c r="Q79" s="1" t="s">
        <v>654</v>
      </c>
      <c r="R79" s="1">
        <v>180008</v>
      </c>
      <c r="S79" s="1" t="b">
        <v>0</v>
      </c>
    </row>
    <row r="80" spans="1:19" x14ac:dyDescent="0.3">
      <c r="A80" s="1">
        <v>79</v>
      </c>
      <c r="B80" s="1" t="s">
        <v>80</v>
      </c>
      <c r="C80" s="1">
        <v>3029486</v>
      </c>
      <c r="D80" s="1" t="s">
        <v>205</v>
      </c>
      <c r="E80" s="1">
        <v>28</v>
      </c>
      <c r="F80" s="1" t="str">
        <f t="shared" si="2"/>
        <v>Teenager</v>
      </c>
      <c r="G80" s="2">
        <v>44744</v>
      </c>
      <c r="H80" s="2" t="str">
        <f t="shared" si="3"/>
        <v>Jul</v>
      </c>
      <c r="I80" s="1" t="s">
        <v>209</v>
      </c>
      <c r="J80" s="1" t="s">
        <v>218</v>
      </c>
      <c r="K80" s="1" t="s">
        <v>298</v>
      </c>
      <c r="L80" s="1" t="s">
        <v>427</v>
      </c>
      <c r="M80" s="1" t="s">
        <v>436</v>
      </c>
      <c r="N80" s="1">
        <v>1</v>
      </c>
      <c r="O80" s="1">
        <v>2800</v>
      </c>
      <c r="P80" s="1" t="s">
        <v>518</v>
      </c>
      <c r="Q80" s="1" t="s">
        <v>655</v>
      </c>
      <c r="R80" s="1">
        <v>180009</v>
      </c>
      <c r="S80" s="1" t="b">
        <v>1</v>
      </c>
    </row>
    <row r="81" spans="1:19" x14ac:dyDescent="0.3">
      <c r="A81" s="1">
        <v>80</v>
      </c>
      <c r="B81" s="1" t="s">
        <v>81</v>
      </c>
      <c r="C81" s="1">
        <v>7193842</v>
      </c>
      <c r="D81" s="1" t="s">
        <v>204</v>
      </c>
      <c r="E81" s="1">
        <v>40</v>
      </c>
      <c r="F81" s="1" t="str">
        <f t="shared" si="2"/>
        <v>Adult</v>
      </c>
      <c r="G81" s="2">
        <v>44745</v>
      </c>
      <c r="H81" s="2" t="str">
        <f t="shared" si="3"/>
        <v>Jul</v>
      </c>
      <c r="I81" s="1" t="s">
        <v>209</v>
      </c>
      <c r="J81" s="1" t="s">
        <v>214</v>
      </c>
      <c r="K81" s="1" t="s">
        <v>299</v>
      </c>
      <c r="L81" s="1" t="s">
        <v>428</v>
      </c>
      <c r="M81" s="1" t="s">
        <v>437</v>
      </c>
      <c r="N81" s="1">
        <v>2</v>
      </c>
      <c r="O81" s="1">
        <v>399</v>
      </c>
      <c r="P81" s="1" t="s">
        <v>519</v>
      </c>
      <c r="Q81" s="1" t="s">
        <v>656</v>
      </c>
      <c r="R81" s="1">
        <v>180010</v>
      </c>
      <c r="S81" s="1" t="b">
        <v>0</v>
      </c>
    </row>
    <row r="82" spans="1:19" x14ac:dyDescent="0.3">
      <c r="A82" s="1">
        <v>81</v>
      </c>
      <c r="B82" s="1" t="s">
        <v>82</v>
      </c>
      <c r="C82" s="1">
        <v>4839205</v>
      </c>
      <c r="D82" s="1" t="s">
        <v>204</v>
      </c>
      <c r="E82" s="1">
        <v>26</v>
      </c>
      <c r="F82" s="1" t="str">
        <f t="shared" si="2"/>
        <v>Teenager</v>
      </c>
      <c r="G82" s="2">
        <v>44746</v>
      </c>
      <c r="H82" s="2" t="str">
        <f t="shared" si="3"/>
        <v>Jul</v>
      </c>
      <c r="I82" s="1" t="s">
        <v>209</v>
      </c>
      <c r="J82" s="1" t="s">
        <v>215</v>
      </c>
      <c r="K82" s="1" t="s">
        <v>300</v>
      </c>
      <c r="L82" s="1" t="s">
        <v>421</v>
      </c>
      <c r="M82" s="1" t="s">
        <v>438</v>
      </c>
      <c r="N82" s="1">
        <v>3</v>
      </c>
      <c r="O82" s="1">
        <v>1600</v>
      </c>
      <c r="P82" s="1" t="s">
        <v>520</v>
      </c>
      <c r="Q82" s="1" t="s">
        <v>638</v>
      </c>
      <c r="R82" s="1">
        <v>190001</v>
      </c>
      <c r="S82" s="1" t="b">
        <v>1</v>
      </c>
    </row>
    <row r="83" spans="1:19" x14ac:dyDescent="0.3">
      <c r="A83" s="1">
        <v>82</v>
      </c>
      <c r="B83" s="1" t="s">
        <v>83</v>
      </c>
      <c r="C83" s="1">
        <v>5942038</v>
      </c>
      <c r="D83" s="1" t="s">
        <v>204</v>
      </c>
      <c r="E83" s="1">
        <v>35</v>
      </c>
      <c r="F83" s="1" t="str">
        <f t="shared" si="2"/>
        <v>Adult</v>
      </c>
      <c r="G83" s="2">
        <v>44799</v>
      </c>
      <c r="H83" s="2" t="str">
        <f t="shared" si="3"/>
        <v>Aug</v>
      </c>
      <c r="I83" s="1" t="s">
        <v>209</v>
      </c>
      <c r="J83" s="1" t="s">
        <v>213</v>
      </c>
      <c r="K83" s="1" t="s">
        <v>301</v>
      </c>
      <c r="L83" s="1" t="s">
        <v>422</v>
      </c>
      <c r="M83" s="1" t="s">
        <v>430</v>
      </c>
      <c r="N83" s="1">
        <v>4</v>
      </c>
      <c r="O83" s="1">
        <v>3500</v>
      </c>
      <c r="P83" s="1" t="s">
        <v>521</v>
      </c>
      <c r="Q83" s="1" t="s">
        <v>441</v>
      </c>
      <c r="R83" s="1">
        <v>190002</v>
      </c>
      <c r="S83" s="1" t="b">
        <v>0</v>
      </c>
    </row>
    <row r="84" spans="1:19" x14ac:dyDescent="0.3">
      <c r="A84" s="1">
        <v>83</v>
      </c>
      <c r="B84" s="1" t="s">
        <v>84</v>
      </c>
      <c r="C84" s="1">
        <v>3849209</v>
      </c>
      <c r="D84" s="1" t="s">
        <v>204</v>
      </c>
      <c r="E84" s="1">
        <v>33</v>
      </c>
      <c r="F84" s="1" t="str">
        <f t="shared" si="2"/>
        <v>Adult</v>
      </c>
      <c r="G84" s="2">
        <v>44800</v>
      </c>
      <c r="H84" s="2" t="str">
        <f t="shared" si="3"/>
        <v>Aug</v>
      </c>
      <c r="I84" s="1" t="s">
        <v>211</v>
      </c>
      <c r="J84" s="1" t="s">
        <v>216</v>
      </c>
      <c r="K84" s="1" t="s">
        <v>302</v>
      </c>
      <c r="L84" s="1" t="s">
        <v>423</v>
      </c>
      <c r="M84" s="1" t="s">
        <v>431</v>
      </c>
      <c r="N84" s="1">
        <v>5</v>
      </c>
      <c r="O84" s="1">
        <v>475</v>
      </c>
      <c r="P84" s="1" t="s">
        <v>522</v>
      </c>
      <c r="Q84" s="1" t="s">
        <v>639</v>
      </c>
      <c r="R84" s="1">
        <v>190003</v>
      </c>
      <c r="S84" s="1" t="b">
        <v>1</v>
      </c>
    </row>
    <row r="85" spans="1:19" x14ac:dyDescent="0.3">
      <c r="A85" s="1">
        <v>84</v>
      </c>
      <c r="B85" s="1" t="s">
        <v>85</v>
      </c>
      <c r="C85" s="1">
        <v>7293847</v>
      </c>
      <c r="D85" s="1" t="s">
        <v>205</v>
      </c>
      <c r="E85" s="1">
        <v>39</v>
      </c>
      <c r="F85" s="1" t="str">
        <f t="shared" si="2"/>
        <v>Adult</v>
      </c>
      <c r="G85" s="2">
        <v>44801</v>
      </c>
      <c r="H85" s="2" t="str">
        <f t="shared" si="3"/>
        <v>Aug</v>
      </c>
      <c r="I85" s="1" t="s">
        <v>209</v>
      </c>
      <c r="J85" s="1" t="s">
        <v>217</v>
      </c>
      <c r="K85" s="1" t="s">
        <v>303</v>
      </c>
      <c r="L85" s="1" t="s">
        <v>424</v>
      </c>
      <c r="M85" s="1" t="s">
        <v>432</v>
      </c>
      <c r="N85" s="1">
        <v>1</v>
      </c>
      <c r="O85" s="1">
        <v>1850</v>
      </c>
      <c r="P85" s="1" t="s">
        <v>523</v>
      </c>
      <c r="Q85" s="1" t="s">
        <v>640</v>
      </c>
      <c r="R85" s="1">
        <v>190004</v>
      </c>
      <c r="S85" s="1" t="b">
        <v>0</v>
      </c>
    </row>
    <row r="86" spans="1:19" x14ac:dyDescent="0.3">
      <c r="A86" s="1">
        <v>85</v>
      </c>
      <c r="B86" s="1" t="s">
        <v>86</v>
      </c>
      <c r="C86" s="1">
        <v>5029380</v>
      </c>
      <c r="D86" s="1" t="s">
        <v>204</v>
      </c>
      <c r="E86" s="1">
        <v>27</v>
      </c>
      <c r="F86" s="1" t="str">
        <f t="shared" si="2"/>
        <v>Teenager</v>
      </c>
      <c r="G86" s="2">
        <v>44802</v>
      </c>
      <c r="H86" s="2" t="str">
        <f t="shared" si="3"/>
        <v>Aug</v>
      </c>
      <c r="I86" s="1" t="s">
        <v>209</v>
      </c>
      <c r="J86" s="1" t="s">
        <v>218</v>
      </c>
      <c r="K86" s="1" t="s">
        <v>304</v>
      </c>
      <c r="L86" s="1" t="s">
        <v>425</v>
      </c>
      <c r="M86" s="1" t="s">
        <v>433</v>
      </c>
      <c r="N86" s="1">
        <v>2</v>
      </c>
      <c r="O86" s="1">
        <v>2999</v>
      </c>
      <c r="P86" s="1" t="s">
        <v>524</v>
      </c>
      <c r="Q86" s="1" t="s">
        <v>641</v>
      </c>
      <c r="R86" s="1">
        <v>190005</v>
      </c>
      <c r="S86" s="1" t="b">
        <v>1</v>
      </c>
    </row>
    <row r="87" spans="1:19" x14ac:dyDescent="0.3">
      <c r="A87" s="1">
        <v>86</v>
      </c>
      <c r="B87" s="1" t="s">
        <v>87</v>
      </c>
      <c r="C87" s="1">
        <v>8392049</v>
      </c>
      <c r="D87" s="1" t="s">
        <v>204</v>
      </c>
      <c r="E87" s="1">
        <v>42</v>
      </c>
      <c r="F87" s="1" t="str">
        <f t="shared" si="2"/>
        <v>Adult</v>
      </c>
      <c r="G87" s="2">
        <v>44803</v>
      </c>
      <c r="H87" s="2" t="str">
        <f t="shared" si="3"/>
        <v>Aug</v>
      </c>
      <c r="I87" s="1" t="s">
        <v>209</v>
      </c>
      <c r="J87" s="1" t="s">
        <v>213</v>
      </c>
      <c r="K87" s="1" t="s">
        <v>305</v>
      </c>
      <c r="L87" s="1" t="s">
        <v>426</v>
      </c>
      <c r="M87" s="1" t="s">
        <v>434</v>
      </c>
      <c r="N87" s="1">
        <v>3</v>
      </c>
      <c r="O87" s="1">
        <v>520</v>
      </c>
      <c r="P87" s="1" t="s">
        <v>525</v>
      </c>
      <c r="Q87" s="1" t="s">
        <v>642</v>
      </c>
      <c r="R87" s="1">
        <v>190006</v>
      </c>
      <c r="S87" s="1" t="b">
        <v>0</v>
      </c>
    </row>
    <row r="88" spans="1:19" x14ac:dyDescent="0.3">
      <c r="A88" s="1">
        <v>87</v>
      </c>
      <c r="B88" s="1" t="s">
        <v>88</v>
      </c>
      <c r="C88" s="1">
        <v>1749208</v>
      </c>
      <c r="D88" s="1" t="s">
        <v>204</v>
      </c>
      <c r="E88" s="1">
        <v>30</v>
      </c>
      <c r="F88" s="1" t="str">
        <f t="shared" si="2"/>
        <v>Adult</v>
      </c>
      <c r="G88" s="2">
        <v>44804</v>
      </c>
      <c r="H88" s="2" t="str">
        <f t="shared" si="3"/>
        <v>Aug</v>
      </c>
      <c r="I88" s="1" t="s">
        <v>209</v>
      </c>
      <c r="J88" s="1" t="s">
        <v>214</v>
      </c>
      <c r="K88" s="1" t="s">
        <v>306</v>
      </c>
      <c r="L88" s="1" t="s">
        <v>427</v>
      </c>
      <c r="M88" s="1" t="s">
        <v>435</v>
      </c>
      <c r="N88" s="1">
        <v>4</v>
      </c>
      <c r="O88" s="1">
        <v>1500</v>
      </c>
      <c r="P88" s="1" t="s">
        <v>526</v>
      </c>
      <c r="Q88" s="1" t="s">
        <v>643</v>
      </c>
      <c r="R88" s="1">
        <v>190007</v>
      </c>
      <c r="S88" s="1" t="b">
        <v>1</v>
      </c>
    </row>
    <row r="89" spans="1:19" x14ac:dyDescent="0.3">
      <c r="A89" s="1">
        <v>88</v>
      </c>
      <c r="B89" s="1" t="s">
        <v>89</v>
      </c>
      <c r="C89" s="1">
        <v>5839201</v>
      </c>
      <c r="D89" s="1" t="s">
        <v>204</v>
      </c>
      <c r="E89" s="1">
        <v>36</v>
      </c>
      <c r="F89" s="1" t="str">
        <f t="shared" si="2"/>
        <v>Adult</v>
      </c>
      <c r="G89" s="2">
        <v>44805</v>
      </c>
      <c r="H89" s="2" t="str">
        <f t="shared" si="3"/>
        <v>Sep</v>
      </c>
      <c r="I89" s="1" t="s">
        <v>210</v>
      </c>
      <c r="J89" s="1" t="s">
        <v>215</v>
      </c>
      <c r="K89" s="1" t="s">
        <v>307</v>
      </c>
      <c r="L89" s="1" t="s">
        <v>428</v>
      </c>
      <c r="M89" s="1" t="s">
        <v>436</v>
      </c>
      <c r="N89" s="1">
        <v>5</v>
      </c>
      <c r="O89" s="1">
        <v>3100</v>
      </c>
      <c r="P89" s="1" t="s">
        <v>527</v>
      </c>
      <c r="Q89" s="1" t="s">
        <v>644</v>
      </c>
      <c r="R89" s="1">
        <v>190008</v>
      </c>
      <c r="S89" s="1" t="b">
        <v>0</v>
      </c>
    </row>
    <row r="90" spans="1:19" x14ac:dyDescent="0.3">
      <c r="A90" s="1">
        <v>89</v>
      </c>
      <c r="B90" s="1" t="s">
        <v>90</v>
      </c>
      <c r="C90" s="1">
        <v>4938579</v>
      </c>
      <c r="D90" s="1" t="s">
        <v>205</v>
      </c>
      <c r="E90" s="1">
        <v>34</v>
      </c>
      <c r="F90" s="1" t="str">
        <f t="shared" si="2"/>
        <v>Adult</v>
      </c>
      <c r="G90" s="2">
        <v>44806</v>
      </c>
      <c r="H90" s="2" t="str">
        <f t="shared" si="3"/>
        <v>Sep</v>
      </c>
      <c r="I90" s="1" t="s">
        <v>209</v>
      </c>
      <c r="J90" s="1" t="s">
        <v>216</v>
      </c>
      <c r="K90" s="1" t="s">
        <v>308</v>
      </c>
      <c r="L90" s="1" t="s">
        <v>421</v>
      </c>
      <c r="M90" s="1" t="s">
        <v>437</v>
      </c>
      <c r="N90" s="1">
        <v>1</v>
      </c>
      <c r="O90" s="1">
        <v>410</v>
      </c>
      <c r="P90" s="1" t="s">
        <v>528</v>
      </c>
      <c r="Q90" s="1" t="s">
        <v>645</v>
      </c>
      <c r="R90" s="1">
        <v>190009</v>
      </c>
      <c r="S90" s="1" t="b">
        <v>1</v>
      </c>
    </row>
    <row r="91" spans="1:19" x14ac:dyDescent="0.3">
      <c r="A91" s="1">
        <v>90</v>
      </c>
      <c r="B91" s="1" t="s">
        <v>91</v>
      </c>
      <c r="C91" s="1">
        <v>3029489</v>
      </c>
      <c r="D91" s="1" t="s">
        <v>204</v>
      </c>
      <c r="E91" s="1">
        <v>41</v>
      </c>
      <c r="F91" s="1" t="str">
        <f t="shared" si="2"/>
        <v>Adult</v>
      </c>
      <c r="G91" s="2">
        <v>44807</v>
      </c>
      <c r="H91" s="2" t="str">
        <f t="shared" si="3"/>
        <v>Sep</v>
      </c>
      <c r="I91" s="1" t="s">
        <v>209</v>
      </c>
      <c r="J91" s="1" t="s">
        <v>217</v>
      </c>
      <c r="K91" s="1" t="s">
        <v>309</v>
      </c>
      <c r="L91" s="1" t="s">
        <v>422</v>
      </c>
      <c r="M91" s="1" t="s">
        <v>438</v>
      </c>
      <c r="N91" s="1">
        <v>2</v>
      </c>
      <c r="O91" s="1">
        <v>1650</v>
      </c>
      <c r="P91" s="1" t="s">
        <v>529</v>
      </c>
      <c r="Q91" s="1" t="s">
        <v>646</v>
      </c>
      <c r="R91" s="1">
        <v>190010</v>
      </c>
      <c r="S91" s="1" t="b">
        <v>0</v>
      </c>
    </row>
    <row r="92" spans="1:19" x14ac:dyDescent="0.3">
      <c r="A92" s="1">
        <v>91</v>
      </c>
      <c r="B92" s="1" t="s">
        <v>92</v>
      </c>
      <c r="C92" s="1">
        <v>7193845</v>
      </c>
      <c r="D92" s="1" t="s">
        <v>204</v>
      </c>
      <c r="E92" s="1">
        <v>25</v>
      </c>
      <c r="F92" s="1" t="str">
        <f t="shared" si="2"/>
        <v>Teenager</v>
      </c>
      <c r="G92" s="2">
        <v>44808</v>
      </c>
      <c r="H92" s="2" t="str">
        <f t="shared" si="3"/>
        <v>Sep</v>
      </c>
      <c r="I92" s="1" t="s">
        <v>209</v>
      </c>
      <c r="J92" s="1" t="s">
        <v>213</v>
      </c>
      <c r="K92" s="1" t="s">
        <v>310</v>
      </c>
      <c r="L92" s="1" t="s">
        <v>423</v>
      </c>
      <c r="M92" s="1" t="s">
        <v>430</v>
      </c>
      <c r="N92" s="1">
        <v>3</v>
      </c>
      <c r="O92" s="1">
        <v>2950</v>
      </c>
      <c r="P92" s="1" t="s">
        <v>530</v>
      </c>
      <c r="Q92" s="1" t="s">
        <v>647</v>
      </c>
      <c r="R92" s="1">
        <v>200001</v>
      </c>
      <c r="S92" s="1" t="b">
        <v>1</v>
      </c>
    </row>
    <row r="93" spans="1:19" x14ac:dyDescent="0.3">
      <c r="A93" s="1">
        <v>92</v>
      </c>
      <c r="B93" s="1" t="s">
        <v>93</v>
      </c>
      <c r="C93" s="1">
        <v>4839202</v>
      </c>
      <c r="D93" s="1" t="s">
        <v>204</v>
      </c>
      <c r="E93" s="1">
        <v>38</v>
      </c>
      <c r="F93" s="1" t="str">
        <f t="shared" si="2"/>
        <v>Adult</v>
      </c>
      <c r="G93" s="2">
        <v>44809</v>
      </c>
      <c r="H93" s="2" t="str">
        <f t="shared" si="3"/>
        <v>Sep</v>
      </c>
      <c r="I93" s="1" t="s">
        <v>209</v>
      </c>
      <c r="J93" s="1" t="s">
        <v>218</v>
      </c>
      <c r="K93" s="1" t="s">
        <v>311</v>
      </c>
      <c r="L93" s="1" t="s">
        <v>424</v>
      </c>
      <c r="M93" s="1" t="s">
        <v>431</v>
      </c>
      <c r="N93" s="1">
        <v>4</v>
      </c>
      <c r="O93" s="1">
        <v>425</v>
      </c>
      <c r="P93" s="1" t="s">
        <v>531</v>
      </c>
      <c r="Q93" s="1" t="s">
        <v>648</v>
      </c>
      <c r="R93" s="1">
        <v>200002</v>
      </c>
      <c r="S93" s="1" t="b">
        <v>0</v>
      </c>
    </row>
    <row r="94" spans="1:19" x14ac:dyDescent="0.3">
      <c r="A94" s="1">
        <v>93</v>
      </c>
      <c r="B94" s="1" t="s">
        <v>94</v>
      </c>
      <c r="C94" s="1">
        <v>5942031</v>
      </c>
      <c r="D94" s="1" t="s">
        <v>204</v>
      </c>
      <c r="E94" s="1">
        <v>29</v>
      </c>
      <c r="F94" s="1" t="str">
        <f t="shared" si="2"/>
        <v>Teenager</v>
      </c>
      <c r="G94" s="2">
        <v>44810</v>
      </c>
      <c r="H94" s="2" t="str">
        <f t="shared" si="3"/>
        <v>Sep</v>
      </c>
      <c r="I94" s="1" t="s">
        <v>211</v>
      </c>
      <c r="J94" s="1" t="s">
        <v>214</v>
      </c>
      <c r="K94" s="1" t="s">
        <v>312</v>
      </c>
      <c r="L94" s="1" t="s">
        <v>425</v>
      </c>
      <c r="M94" s="1" t="s">
        <v>432</v>
      </c>
      <c r="N94" s="1">
        <v>5</v>
      </c>
      <c r="O94" s="1">
        <v>1900</v>
      </c>
      <c r="P94" s="1" t="s">
        <v>532</v>
      </c>
      <c r="Q94" s="1" t="s">
        <v>649</v>
      </c>
      <c r="R94" s="1">
        <v>200003</v>
      </c>
      <c r="S94" s="1" t="b">
        <v>1</v>
      </c>
    </row>
    <row r="95" spans="1:19" x14ac:dyDescent="0.3">
      <c r="A95" s="1">
        <v>94</v>
      </c>
      <c r="B95" s="1" t="s">
        <v>95</v>
      </c>
      <c r="C95" s="1">
        <v>3849204</v>
      </c>
      <c r="D95" s="1" t="s">
        <v>205</v>
      </c>
      <c r="E95" s="1">
        <v>44</v>
      </c>
      <c r="F95" s="1" t="str">
        <f t="shared" si="2"/>
        <v>Adult</v>
      </c>
      <c r="G95" s="2">
        <v>44811</v>
      </c>
      <c r="H95" s="2" t="str">
        <f t="shared" si="3"/>
        <v>Sep</v>
      </c>
      <c r="I95" s="1" t="s">
        <v>209</v>
      </c>
      <c r="J95" s="1" t="s">
        <v>215</v>
      </c>
      <c r="K95" s="1" t="s">
        <v>313</v>
      </c>
      <c r="L95" s="1" t="s">
        <v>426</v>
      </c>
      <c r="M95" s="1" t="s">
        <v>433</v>
      </c>
      <c r="N95" s="1">
        <v>1</v>
      </c>
      <c r="O95" s="1">
        <v>3200</v>
      </c>
      <c r="P95" s="1" t="s">
        <v>533</v>
      </c>
      <c r="Q95" s="1" t="s">
        <v>650</v>
      </c>
      <c r="R95" s="1">
        <v>200004</v>
      </c>
      <c r="S95" s="1" t="b">
        <v>0</v>
      </c>
    </row>
    <row r="96" spans="1:19" x14ac:dyDescent="0.3">
      <c r="A96" s="1">
        <v>95</v>
      </c>
      <c r="B96" s="1" t="s">
        <v>96</v>
      </c>
      <c r="C96" s="1">
        <v>7293845</v>
      </c>
      <c r="D96" s="1" t="s">
        <v>204</v>
      </c>
      <c r="E96" s="1">
        <v>32</v>
      </c>
      <c r="F96" s="1" t="str">
        <f t="shared" si="2"/>
        <v>Adult</v>
      </c>
      <c r="G96" s="2">
        <v>44812</v>
      </c>
      <c r="H96" s="2" t="str">
        <f t="shared" si="3"/>
        <v>Sep</v>
      </c>
      <c r="I96" s="1" t="s">
        <v>209</v>
      </c>
      <c r="J96" s="1" t="s">
        <v>213</v>
      </c>
      <c r="K96" s="1" t="s">
        <v>314</v>
      </c>
      <c r="L96" s="1" t="s">
        <v>427</v>
      </c>
      <c r="M96" s="1" t="s">
        <v>434</v>
      </c>
      <c r="N96" s="1">
        <v>2</v>
      </c>
      <c r="O96" s="1">
        <v>499</v>
      </c>
      <c r="P96" s="1" t="s">
        <v>534</v>
      </c>
      <c r="Q96" s="1" t="s">
        <v>651</v>
      </c>
      <c r="R96" s="1">
        <v>200005</v>
      </c>
      <c r="S96" s="1" t="b">
        <v>1</v>
      </c>
    </row>
    <row r="97" spans="1:19" x14ac:dyDescent="0.3">
      <c r="A97" s="1">
        <v>96</v>
      </c>
      <c r="B97" s="1" t="s">
        <v>97</v>
      </c>
      <c r="C97" s="1">
        <v>5029389</v>
      </c>
      <c r="D97" s="1" t="s">
        <v>204</v>
      </c>
      <c r="E97" s="1">
        <v>37</v>
      </c>
      <c r="F97" s="1" t="str">
        <f t="shared" si="2"/>
        <v>Adult</v>
      </c>
      <c r="G97" s="2">
        <v>44813</v>
      </c>
      <c r="H97" s="2" t="str">
        <f t="shared" si="3"/>
        <v>Sep</v>
      </c>
      <c r="I97" s="1" t="s">
        <v>209</v>
      </c>
      <c r="J97" s="1" t="s">
        <v>216</v>
      </c>
      <c r="K97" s="1" t="s">
        <v>315</v>
      </c>
      <c r="L97" s="1" t="s">
        <v>428</v>
      </c>
      <c r="M97" s="1" t="s">
        <v>435</v>
      </c>
      <c r="N97" s="1">
        <v>3</v>
      </c>
      <c r="O97" s="1">
        <v>1550</v>
      </c>
      <c r="P97" s="1" t="s">
        <v>535</v>
      </c>
      <c r="Q97" s="1" t="s">
        <v>652</v>
      </c>
      <c r="R97" s="1">
        <v>200006</v>
      </c>
      <c r="S97" s="1" t="b">
        <v>0</v>
      </c>
    </row>
    <row r="98" spans="1:19" x14ac:dyDescent="0.3">
      <c r="A98" s="1">
        <v>97</v>
      </c>
      <c r="B98" s="1" t="s">
        <v>98</v>
      </c>
      <c r="C98" s="1">
        <v>8392042</v>
      </c>
      <c r="D98" s="1" t="s">
        <v>204</v>
      </c>
      <c r="E98" s="1">
        <v>28</v>
      </c>
      <c r="F98" s="1" t="str">
        <f t="shared" si="2"/>
        <v>Teenager</v>
      </c>
      <c r="G98" s="2">
        <v>44814</v>
      </c>
      <c r="H98" s="2" t="str">
        <f t="shared" si="3"/>
        <v>Sep</v>
      </c>
      <c r="I98" s="1" t="s">
        <v>209</v>
      </c>
      <c r="J98" s="1" t="s">
        <v>217</v>
      </c>
      <c r="K98" s="1" t="s">
        <v>316</v>
      </c>
      <c r="L98" s="1" t="s">
        <v>421</v>
      </c>
      <c r="M98" s="1" t="s">
        <v>436</v>
      </c>
      <c r="N98" s="1">
        <v>4</v>
      </c>
      <c r="O98" s="1">
        <v>2700</v>
      </c>
      <c r="P98" s="1" t="s">
        <v>536</v>
      </c>
      <c r="Q98" s="1" t="s">
        <v>653</v>
      </c>
      <c r="R98" s="1">
        <v>200007</v>
      </c>
      <c r="S98" s="1" t="b">
        <v>1</v>
      </c>
    </row>
    <row r="99" spans="1:19" x14ac:dyDescent="0.3">
      <c r="A99" s="1">
        <v>98</v>
      </c>
      <c r="B99" s="1" t="s">
        <v>99</v>
      </c>
      <c r="C99" s="1">
        <v>1749207</v>
      </c>
      <c r="D99" s="1" t="s">
        <v>204</v>
      </c>
      <c r="E99" s="1">
        <v>40</v>
      </c>
      <c r="F99" s="1" t="str">
        <f t="shared" si="2"/>
        <v>Adult</v>
      </c>
      <c r="G99" s="2">
        <v>44799</v>
      </c>
      <c r="H99" s="2" t="str">
        <f t="shared" si="3"/>
        <v>Aug</v>
      </c>
      <c r="I99" s="1" t="s">
        <v>210</v>
      </c>
      <c r="J99" s="1" t="s">
        <v>218</v>
      </c>
      <c r="K99" s="1" t="s">
        <v>317</v>
      </c>
      <c r="L99" s="1" t="s">
        <v>422</v>
      </c>
      <c r="M99" s="1" t="s">
        <v>437</v>
      </c>
      <c r="N99" s="1">
        <v>5</v>
      </c>
      <c r="O99" s="1">
        <v>395</v>
      </c>
      <c r="P99" s="1" t="s">
        <v>537</v>
      </c>
      <c r="Q99" s="1" t="s">
        <v>654</v>
      </c>
      <c r="R99" s="1">
        <v>200008</v>
      </c>
      <c r="S99" s="1" t="b">
        <v>0</v>
      </c>
    </row>
    <row r="100" spans="1:19" x14ac:dyDescent="0.3">
      <c r="A100" s="1">
        <v>99</v>
      </c>
      <c r="B100" s="1" t="s">
        <v>100</v>
      </c>
      <c r="C100" s="1">
        <v>5839203</v>
      </c>
      <c r="D100" s="1" t="s">
        <v>205</v>
      </c>
      <c r="E100" s="1">
        <v>26</v>
      </c>
      <c r="F100" s="1" t="str">
        <f t="shared" si="2"/>
        <v>Teenager</v>
      </c>
      <c r="G100" s="2">
        <v>44800</v>
      </c>
      <c r="H100" s="2" t="str">
        <f t="shared" si="3"/>
        <v>Aug</v>
      </c>
      <c r="I100" s="1" t="s">
        <v>209</v>
      </c>
      <c r="J100" s="1" t="s">
        <v>213</v>
      </c>
      <c r="K100" s="1" t="s">
        <v>318</v>
      </c>
      <c r="L100" s="1" t="s">
        <v>423</v>
      </c>
      <c r="M100" s="1" t="s">
        <v>438</v>
      </c>
      <c r="N100" s="1">
        <v>1</v>
      </c>
      <c r="O100" s="1">
        <v>1700</v>
      </c>
      <c r="P100" s="1" t="s">
        <v>538</v>
      </c>
      <c r="Q100" s="1" t="s">
        <v>655</v>
      </c>
      <c r="R100" s="1">
        <v>200009</v>
      </c>
      <c r="S100" s="1" t="b">
        <v>1</v>
      </c>
    </row>
    <row r="101" spans="1:19" x14ac:dyDescent="0.3">
      <c r="A101" s="1">
        <v>100</v>
      </c>
      <c r="B101" s="1" t="s">
        <v>101</v>
      </c>
      <c r="C101" s="1">
        <v>4938571</v>
      </c>
      <c r="D101" s="1" t="s">
        <v>204</v>
      </c>
      <c r="E101" s="1">
        <v>35</v>
      </c>
      <c r="F101" s="1" t="str">
        <f t="shared" si="2"/>
        <v>Adult</v>
      </c>
      <c r="G101" s="2">
        <v>44801</v>
      </c>
      <c r="H101" s="2" t="str">
        <f t="shared" si="3"/>
        <v>Aug</v>
      </c>
      <c r="I101" s="1" t="s">
        <v>209</v>
      </c>
      <c r="J101" s="1" t="s">
        <v>214</v>
      </c>
      <c r="K101" s="1" t="s">
        <v>319</v>
      </c>
      <c r="L101" s="1" t="s">
        <v>424</v>
      </c>
      <c r="M101" s="1" t="s">
        <v>430</v>
      </c>
      <c r="N101" s="1">
        <v>2</v>
      </c>
      <c r="O101" s="1">
        <v>3050</v>
      </c>
      <c r="P101" s="1" t="s">
        <v>539</v>
      </c>
      <c r="Q101" s="1" t="s">
        <v>656</v>
      </c>
      <c r="R101" s="1">
        <v>200010</v>
      </c>
      <c r="S101" s="1" t="b">
        <v>0</v>
      </c>
    </row>
    <row r="102" spans="1:19" x14ac:dyDescent="0.3">
      <c r="A102" s="1">
        <v>101</v>
      </c>
      <c r="B102" s="1" t="s">
        <v>102</v>
      </c>
      <c r="C102" s="1">
        <v>3029483</v>
      </c>
      <c r="D102" s="1" t="s">
        <v>204</v>
      </c>
      <c r="E102" s="1">
        <v>33</v>
      </c>
      <c r="F102" s="1" t="str">
        <f t="shared" si="2"/>
        <v>Adult</v>
      </c>
      <c r="G102" s="2">
        <v>44802</v>
      </c>
      <c r="H102" s="2" t="str">
        <f t="shared" si="3"/>
        <v>Aug</v>
      </c>
      <c r="I102" s="1" t="s">
        <v>209</v>
      </c>
      <c r="J102" s="1" t="s">
        <v>215</v>
      </c>
      <c r="K102" s="1" t="s">
        <v>320</v>
      </c>
      <c r="L102" s="1" t="s">
        <v>425</v>
      </c>
      <c r="M102" s="1" t="s">
        <v>431</v>
      </c>
      <c r="N102" s="1">
        <v>3</v>
      </c>
      <c r="O102" s="1">
        <v>520</v>
      </c>
      <c r="P102" s="1" t="s">
        <v>540</v>
      </c>
      <c r="Q102" s="1" t="s">
        <v>638</v>
      </c>
      <c r="R102" s="1">
        <v>210001</v>
      </c>
      <c r="S102" s="1" t="b">
        <v>1</v>
      </c>
    </row>
    <row r="103" spans="1:19" x14ac:dyDescent="0.3">
      <c r="A103" s="1">
        <v>102</v>
      </c>
      <c r="B103" s="1" t="s">
        <v>103</v>
      </c>
      <c r="C103" s="1">
        <v>7193841</v>
      </c>
      <c r="D103" s="1" t="s">
        <v>204</v>
      </c>
      <c r="E103" s="1">
        <v>39</v>
      </c>
      <c r="F103" s="1" t="str">
        <f t="shared" si="2"/>
        <v>Adult</v>
      </c>
      <c r="G103" s="2">
        <v>44803</v>
      </c>
      <c r="H103" s="2" t="str">
        <f t="shared" si="3"/>
        <v>Aug</v>
      </c>
      <c r="I103" s="1" t="s">
        <v>209</v>
      </c>
      <c r="J103" s="1" t="s">
        <v>216</v>
      </c>
      <c r="K103" s="1" t="s">
        <v>321</v>
      </c>
      <c r="L103" s="1" t="s">
        <v>426</v>
      </c>
      <c r="M103" s="1" t="s">
        <v>432</v>
      </c>
      <c r="N103" s="1">
        <v>4</v>
      </c>
      <c r="O103" s="1">
        <v>1850</v>
      </c>
      <c r="P103" s="1" t="s">
        <v>541</v>
      </c>
      <c r="Q103" s="1" t="s">
        <v>441</v>
      </c>
      <c r="R103" s="1">
        <v>210002</v>
      </c>
      <c r="S103" s="1" t="b">
        <v>0</v>
      </c>
    </row>
    <row r="104" spans="1:19" x14ac:dyDescent="0.3">
      <c r="A104" s="1">
        <v>103</v>
      </c>
      <c r="B104" s="1" t="s">
        <v>104</v>
      </c>
      <c r="C104" s="1">
        <v>4839208</v>
      </c>
      <c r="D104" s="1" t="s">
        <v>204</v>
      </c>
      <c r="E104" s="1">
        <v>27</v>
      </c>
      <c r="F104" s="1" t="str">
        <f t="shared" si="2"/>
        <v>Teenager</v>
      </c>
      <c r="G104" s="2">
        <v>44804</v>
      </c>
      <c r="H104" s="2" t="str">
        <f t="shared" si="3"/>
        <v>Aug</v>
      </c>
      <c r="I104" s="1" t="s">
        <v>211</v>
      </c>
      <c r="J104" s="1" t="s">
        <v>217</v>
      </c>
      <c r="K104" s="1" t="s">
        <v>322</v>
      </c>
      <c r="L104" s="1" t="s">
        <v>427</v>
      </c>
      <c r="M104" s="1" t="s">
        <v>433</v>
      </c>
      <c r="N104" s="1">
        <v>5</v>
      </c>
      <c r="O104" s="1">
        <v>2850</v>
      </c>
      <c r="P104" s="1" t="s">
        <v>542</v>
      </c>
      <c r="Q104" s="1" t="s">
        <v>639</v>
      </c>
      <c r="R104" s="1">
        <v>210003</v>
      </c>
      <c r="S104" s="1" t="b">
        <v>1</v>
      </c>
    </row>
    <row r="105" spans="1:19" x14ac:dyDescent="0.3">
      <c r="A105" s="1">
        <v>104</v>
      </c>
      <c r="B105" s="1" t="s">
        <v>105</v>
      </c>
      <c r="C105" s="1">
        <v>5942035</v>
      </c>
      <c r="D105" s="1" t="s">
        <v>205</v>
      </c>
      <c r="E105" s="1">
        <v>42</v>
      </c>
      <c r="F105" s="1" t="str">
        <f t="shared" si="2"/>
        <v>Adult</v>
      </c>
      <c r="G105" s="2">
        <v>44805</v>
      </c>
      <c r="H105" s="2" t="str">
        <f t="shared" si="3"/>
        <v>Sep</v>
      </c>
      <c r="I105" s="1" t="s">
        <v>209</v>
      </c>
      <c r="J105" s="1" t="s">
        <v>213</v>
      </c>
      <c r="K105" s="1" t="s">
        <v>323</v>
      </c>
      <c r="L105" s="1" t="s">
        <v>428</v>
      </c>
      <c r="M105" s="1" t="s">
        <v>434</v>
      </c>
      <c r="N105" s="1">
        <v>1</v>
      </c>
      <c r="O105" s="1">
        <v>410</v>
      </c>
      <c r="P105" s="1" t="s">
        <v>543</v>
      </c>
      <c r="Q105" s="1" t="s">
        <v>640</v>
      </c>
      <c r="R105" s="1">
        <v>210004</v>
      </c>
      <c r="S105" s="1" t="b">
        <v>0</v>
      </c>
    </row>
    <row r="106" spans="1:19" x14ac:dyDescent="0.3">
      <c r="A106" s="1">
        <v>105</v>
      </c>
      <c r="B106" s="1" t="s">
        <v>106</v>
      </c>
      <c r="C106" s="1">
        <v>3849207</v>
      </c>
      <c r="D106" s="1" t="s">
        <v>204</v>
      </c>
      <c r="E106" s="1">
        <v>30</v>
      </c>
      <c r="F106" s="1" t="str">
        <f t="shared" si="2"/>
        <v>Adult</v>
      </c>
      <c r="G106" s="2">
        <v>44806</v>
      </c>
      <c r="H106" s="2" t="str">
        <f t="shared" si="3"/>
        <v>Sep</v>
      </c>
      <c r="I106" s="1" t="s">
        <v>209</v>
      </c>
      <c r="J106" s="1" t="s">
        <v>218</v>
      </c>
      <c r="K106" s="1" t="s">
        <v>324</v>
      </c>
      <c r="L106" s="1" t="s">
        <v>421</v>
      </c>
      <c r="M106" s="1" t="s">
        <v>435</v>
      </c>
      <c r="N106" s="1">
        <v>2</v>
      </c>
      <c r="O106" s="1">
        <v>1600</v>
      </c>
      <c r="P106" s="1" t="s">
        <v>544</v>
      </c>
      <c r="Q106" s="1" t="s">
        <v>641</v>
      </c>
      <c r="R106" s="1">
        <v>210005</v>
      </c>
      <c r="S106" s="1" t="b">
        <v>1</v>
      </c>
    </row>
    <row r="107" spans="1:19" x14ac:dyDescent="0.3">
      <c r="A107" s="1">
        <v>106</v>
      </c>
      <c r="B107" s="1" t="s">
        <v>107</v>
      </c>
      <c r="C107" s="1">
        <v>7293842</v>
      </c>
      <c r="D107" s="1" t="s">
        <v>204</v>
      </c>
      <c r="E107" s="1">
        <v>36</v>
      </c>
      <c r="F107" s="1" t="str">
        <f t="shared" si="2"/>
        <v>Adult</v>
      </c>
      <c r="G107" s="2">
        <v>44807</v>
      </c>
      <c r="H107" s="2" t="str">
        <f t="shared" si="3"/>
        <v>Sep</v>
      </c>
      <c r="I107" s="1" t="s">
        <v>209</v>
      </c>
      <c r="J107" s="1" t="s">
        <v>214</v>
      </c>
      <c r="K107" s="1" t="s">
        <v>325</v>
      </c>
      <c r="L107" s="1" t="s">
        <v>422</v>
      </c>
      <c r="M107" s="1" t="s">
        <v>436</v>
      </c>
      <c r="N107" s="1">
        <v>3</v>
      </c>
      <c r="O107" s="1">
        <v>3350</v>
      </c>
      <c r="P107" s="1" t="s">
        <v>545</v>
      </c>
      <c r="Q107" s="1" t="s">
        <v>642</v>
      </c>
      <c r="R107" s="1">
        <v>210006</v>
      </c>
      <c r="S107" s="1" t="b">
        <v>0</v>
      </c>
    </row>
    <row r="108" spans="1:19" x14ac:dyDescent="0.3">
      <c r="A108" s="1">
        <v>107</v>
      </c>
      <c r="B108" s="1" t="s">
        <v>108</v>
      </c>
      <c r="C108" s="1">
        <v>5029385</v>
      </c>
      <c r="D108" s="1" t="s">
        <v>204</v>
      </c>
      <c r="E108" s="1">
        <v>34</v>
      </c>
      <c r="F108" s="1" t="str">
        <f t="shared" si="2"/>
        <v>Adult</v>
      </c>
      <c r="G108" s="2">
        <v>44808</v>
      </c>
      <c r="H108" s="2" t="str">
        <f t="shared" si="3"/>
        <v>Sep</v>
      </c>
      <c r="I108" s="1" t="s">
        <v>209</v>
      </c>
      <c r="J108" s="1" t="s">
        <v>215</v>
      </c>
      <c r="K108" s="1" t="s">
        <v>326</v>
      </c>
      <c r="L108" s="1" t="s">
        <v>423</v>
      </c>
      <c r="M108" s="1" t="s">
        <v>437</v>
      </c>
      <c r="N108" s="1">
        <v>4</v>
      </c>
      <c r="O108" s="1">
        <v>475</v>
      </c>
      <c r="P108" s="1" t="s">
        <v>546</v>
      </c>
      <c r="Q108" s="1" t="s">
        <v>643</v>
      </c>
      <c r="R108" s="1">
        <v>210007</v>
      </c>
      <c r="S108" s="1" t="b">
        <v>1</v>
      </c>
    </row>
    <row r="109" spans="1:19" x14ac:dyDescent="0.3">
      <c r="A109" s="1">
        <v>108</v>
      </c>
      <c r="B109" s="1" t="s">
        <v>109</v>
      </c>
      <c r="C109" s="1">
        <v>8392045</v>
      </c>
      <c r="D109" s="1" t="s">
        <v>204</v>
      </c>
      <c r="E109" s="1">
        <v>41</v>
      </c>
      <c r="F109" s="1" t="str">
        <f t="shared" si="2"/>
        <v>Adult</v>
      </c>
      <c r="G109" s="2">
        <v>44809</v>
      </c>
      <c r="H109" s="2" t="str">
        <f t="shared" si="3"/>
        <v>Sep</v>
      </c>
      <c r="I109" s="1" t="s">
        <v>210</v>
      </c>
      <c r="J109" s="1" t="s">
        <v>213</v>
      </c>
      <c r="K109" s="1" t="s">
        <v>327</v>
      </c>
      <c r="L109" s="1" t="s">
        <v>424</v>
      </c>
      <c r="M109" s="1" t="s">
        <v>438</v>
      </c>
      <c r="N109" s="1">
        <v>5</v>
      </c>
      <c r="O109" s="1">
        <v>1950</v>
      </c>
      <c r="P109" s="1" t="s">
        <v>547</v>
      </c>
      <c r="Q109" s="1" t="s">
        <v>644</v>
      </c>
      <c r="R109" s="1">
        <v>210008</v>
      </c>
      <c r="S109" s="1" t="b">
        <v>0</v>
      </c>
    </row>
    <row r="110" spans="1:19" x14ac:dyDescent="0.3">
      <c r="A110" s="1">
        <v>109</v>
      </c>
      <c r="B110" s="1" t="s">
        <v>110</v>
      </c>
      <c r="C110" s="1">
        <v>1749205</v>
      </c>
      <c r="D110" s="1" t="s">
        <v>205</v>
      </c>
      <c r="E110" s="1">
        <v>25</v>
      </c>
      <c r="F110" s="1" t="str">
        <f t="shared" si="2"/>
        <v>Teenager</v>
      </c>
      <c r="G110" s="2">
        <v>44810</v>
      </c>
      <c r="H110" s="2" t="str">
        <f t="shared" si="3"/>
        <v>Sep</v>
      </c>
      <c r="I110" s="1" t="s">
        <v>209</v>
      </c>
      <c r="J110" s="1" t="s">
        <v>216</v>
      </c>
      <c r="K110" s="1" t="s">
        <v>328</v>
      </c>
      <c r="L110" s="1" t="s">
        <v>425</v>
      </c>
      <c r="M110" s="1" t="s">
        <v>430</v>
      </c>
      <c r="N110" s="1">
        <v>1</v>
      </c>
      <c r="O110" s="1">
        <v>2990</v>
      </c>
      <c r="P110" s="1" t="s">
        <v>548</v>
      </c>
      <c r="Q110" s="1" t="s">
        <v>645</v>
      </c>
      <c r="R110" s="1">
        <v>210009</v>
      </c>
      <c r="S110" s="1" t="b">
        <v>1</v>
      </c>
    </row>
    <row r="111" spans="1:19" x14ac:dyDescent="0.3">
      <c r="A111" s="1">
        <v>110</v>
      </c>
      <c r="B111" s="1" t="s">
        <v>111</v>
      </c>
      <c r="C111" s="1">
        <v>6023849</v>
      </c>
      <c r="D111" s="1" t="s">
        <v>204</v>
      </c>
      <c r="E111" s="1">
        <v>38</v>
      </c>
      <c r="F111" s="1" t="str">
        <f t="shared" si="2"/>
        <v>Adult</v>
      </c>
      <c r="G111" s="2">
        <v>44811</v>
      </c>
      <c r="H111" s="2" t="str">
        <f t="shared" si="3"/>
        <v>Sep</v>
      </c>
      <c r="I111" s="1" t="s">
        <v>209</v>
      </c>
      <c r="J111" s="1" t="s">
        <v>217</v>
      </c>
      <c r="K111" s="1" t="s">
        <v>329</v>
      </c>
      <c r="L111" s="1" t="s">
        <v>426</v>
      </c>
      <c r="M111" s="1" t="s">
        <v>431</v>
      </c>
      <c r="N111" s="1">
        <v>2</v>
      </c>
      <c r="O111" s="1">
        <v>520</v>
      </c>
      <c r="P111" s="1" t="s">
        <v>549</v>
      </c>
      <c r="Q111" s="1" t="s">
        <v>646</v>
      </c>
      <c r="R111" s="1">
        <v>210010</v>
      </c>
      <c r="S111" s="1" t="b">
        <v>0</v>
      </c>
    </row>
    <row r="112" spans="1:19" x14ac:dyDescent="0.3">
      <c r="A112" s="1">
        <v>111</v>
      </c>
      <c r="B112" s="1" t="s">
        <v>112</v>
      </c>
      <c r="C112" s="1">
        <v>7194823</v>
      </c>
      <c r="D112" s="1" t="s">
        <v>204</v>
      </c>
      <c r="E112" s="1">
        <v>29</v>
      </c>
      <c r="F112" s="1" t="str">
        <f t="shared" si="2"/>
        <v>Teenager</v>
      </c>
      <c r="G112" s="2">
        <v>44812</v>
      </c>
      <c r="H112" s="2" t="str">
        <f t="shared" si="3"/>
        <v>Sep</v>
      </c>
      <c r="I112" s="1" t="s">
        <v>209</v>
      </c>
      <c r="J112" s="1" t="s">
        <v>218</v>
      </c>
      <c r="K112" s="1" t="s">
        <v>330</v>
      </c>
      <c r="L112" s="1" t="s">
        <v>427</v>
      </c>
      <c r="M112" s="1" t="s">
        <v>432</v>
      </c>
      <c r="N112" s="1">
        <v>3</v>
      </c>
      <c r="O112" s="1">
        <v>1500</v>
      </c>
      <c r="P112" s="1" t="s">
        <v>550</v>
      </c>
      <c r="Q112" s="1" t="s">
        <v>647</v>
      </c>
      <c r="R112" s="1">
        <v>220001</v>
      </c>
      <c r="S112" s="1" t="b">
        <v>1</v>
      </c>
    </row>
    <row r="113" spans="1:19" x14ac:dyDescent="0.3">
      <c r="A113" s="1">
        <v>112</v>
      </c>
      <c r="B113" s="1" t="s">
        <v>113</v>
      </c>
      <c r="C113" s="1">
        <v>3849206</v>
      </c>
      <c r="D113" s="1" t="s">
        <v>204</v>
      </c>
      <c r="E113" s="1">
        <v>43</v>
      </c>
      <c r="F113" s="1" t="str">
        <f t="shared" si="2"/>
        <v>Adult</v>
      </c>
      <c r="G113" s="2">
        <v>44813</v>
      </c>
      <c r="H113" s="2" t="str">
        <f t="shared" si="3"/>
        <v>Sep</v>
      </c>
      <c r="I113" s="1" t="s">
        <v>209</v>
      </c>
      <c r="J113" s="1" t="s">
        <v>213</v>
      </c>
      <c r="K113" s="1" t="s">
        <v>331</v>
      </c>
      <c r="L113" s="1" t="s">
        <v>428</v>
      </c>
      <c r="M113" s="1" t="s">
        <v>433</v>
      </c>
      <c r="N113" s="1">
        <v>4</v>
      </c>
      <c r="O113" s="1">
        <v>3100</v>
      </c>
      <c r="P113" s="1" t="s">
        <v>551</v>
      </c>
      <c r="Q113" s="1" t="s">
        <v>648</v>
      </c>
      <c r="R113" s="1">
        <v>220002</v>
      </c>
      <c r="S113" s="1" t="b">
        <v>0</v>
      </c>
    </row>
    <row r="114" spans="1:19" x14ac:dyDescent="0.3">
      <c r="A114" s="1">
        <v>113</v>
      </c>
      <c r="B114" s="1" t="s">
        <v>114</v>
      </c>
      <c r="C114" s="1">
        <v>4938573</v>
      </c>
      <c r="D114" s="1" t="s">
        <v>204</v>
      </c>
      <c r="E114" s="1">
        <v>32</v>
      </c>
      <c r="F114" s="1" t="str">
        <f t="shared" si="2"/>
        <v>Adult</v>
      </c>
      <c r="G114" s="2">
        <v>44814</v>
      </c>
      <c r="H114" s="2" t="str">
        <f t="shared" si="3"/>
        <v>Sep</v>
      </c>
      <c r="I114" s="1" t="s">
        <v>211</v>
      </c>
      <c r="J114" s="1" t="s">
        <v>214</v>
      </c>
      <c r="K114" s="1" t="s">
        <v>332</v>
      </c>
      <c r="L114" s="1" t="s">
        <v>421</v>
      </c>
      <c r="M114" s="1" t="s">
        <v>434</v>
      </c>
      <c r="N114" s="1">
        <v>5</v>
      </c>
      <c r="O114" s="1">
        <v>399</v>
      </c>
      <c r="P114" s="1" t="s">
        <v>552</v>
      </c>
      <c r="Q114" s="1" t="s">
        <v>649</v>
      </c>
      <c r="R114" s="1">
        <v>220003</v>
      </c>
      <c r="S114" s="1" t="b">
        <v>1</v>
      </c>
    </row>
    <row r="115" spans="1:19" x14ac:dyDescent="0.3">
      <c r="A115" s="1">
        <v>114</v>
      </c>
      <c r="B115" s="1" t="s">
        <v>115</v>
      </c>
      <c r="C115" s="1">
        <v>5029382</v>
      </c>
      <c r="D115" s="1" t="s">
        <v>205</v>
      </c>
      <c r="E115" s="1">
        <v>37</v>
      </c>
      <c r="F115" s="1" t="str">
        <f t="shared" si="2"/>
        <v>Adult</v>
      </c>
      <c r="G115" s="2">
        <v>44815</v>
      </c>
      <c r="H115" s="2" t="str">
        <f t="shared" si="3"/>
        <v>Sep</v>
      </c>
      <c r="I115" s="1" t="s">
        <v>209</v>
      </c>
      <c r="J115" s="1" t="s">
        <v>215</v>
      </c>
      <c r="K115" s="1" t="s">
        <v>333</v>
      </c>
      <c r="L115" s="1" t="s">
        <v>422</v>
      </c>
      <c r="M115" s="1" t="s">
        <v>435</v>
      </c>
      <c r="N115" s="1">
        <v>1</v>
      </c>
      <c r="O115" s="1">
        <v>1750</v>
      </c>
      <c r="P115" s="1" t="s">
        <v>553</v>
      </c>
      <c r="Q115" s="1" t="s">
        <v>650</v>
      </c>
      <c r="R115" s="1">
        <v>220004</v>
      </c>
      <c r="S115" s="1" t="b">
        <v>0</v>
      </c>
    </row>
    <row r="116" spans="1:19" x14ac:dyDescent="0.3">
      <c r="A116" s="1">
        <v>115</v>
      </c>
      <c r="B116" s="1" t="s">
        <v>116</v>
      </c>
      <c r="C116" s="1">
        <v>8392046</v>
      </c>
      <c r="D116" s="1" t="s">
        <v>204</v>
      </c>
      <c r="E116" s="1">
        <v>28</v>
      </c>
      <c r="F116" s="1" t="str">
        <f t="shared" si="2"/>
        <v>Teenager</v>
      </c>
      <c r="G116" s="2">
        <v>44816</v>
      </c>
      <c r="H116" s="2" t="str">
        <f t="shared" si="3"/>
        <v>Sep</v>
      </c>
      <c r="I116" s="1" t="s">
        <v>209</v>
      </c>
      <c r="J116" s="1" t="s">
        <v>216</v>
      </c>
      <c r="K116" s="1" t="s">
        <v>334</v>
      </c>
      <c r="L116" s="1" t="s">
        <v>423</v>
      </c>
      <c r="M116" s="1" t="s">
        <v>436</v>
      </c>
      <c r="N116" s="1">
        <v>2</v>
      </c>
      <c r="O116" s="1">
        <v>3000</v>
      </c>
      <c r="P116" s="1" t="s">
        <v>518</v>
      </c>
      <c r="Q116" s="1" t="s">
        <v>651</v>
      </c>
      <c r="R116" s="1">
        <v>220005</v>
      </c>
      <c r="S116" s="1" t="b">
        <v>1</v>
      </c>
    </row>
    <row r="117" spans="1:19" x14ac:dyDescent="0.3">
      <c r="A117" s="1">
        <v>116</v>
      </c>
      <c r="B117" s="1" t="s">
        <v>117</v>
      </c>
      <c r="C117" s="1">
        <v>1749209</v>
      </c>
      <c r="D117" s="1" t="s">
        <v>204</v>
      </c>
      <c r="E117" s="1">
        <v>40</v>
      </c>
      <c r="F117" s="1" t="str">
        <f t="shared" si="2"/>
        <v>Adult</v>
      </c>
      <c r="G117" s="2">
        <v>44817</v>
      </c>
      <c r="H117" s="2" t="str">
        <f t="shared" si="3"/>
        <v>Sep</v>
      </c>
      <c r="I117" s="1" t="s">
        <v>209</v>
      </c>
      <c r="J117" s="1" t="s">
        <v>217</v>
      </c>
      <c r="K117" s="1" t="s">
        <v>335</v>
      </c>
      <c r="L117" s="1" t="s">
        <v>424</v>
      </c>
      <c r="M117" s="1" t="s">
        <v>437</v>
      </c>
      <c r="N117" s="1">
        <v>3</v>
      </c>
      <c r="O117" s="1">
        <v>495</v>
      </c>
      <c r="P117" s="1" t="s">
        <v>554</v>
      </c>
      <c r="Q117" s="1" t="s">
        <v>652</v>
      </c>
      <c r="R117" s="1">
        <v>220006</v>
      </c>
      <c r="S117" s="1" t="b">
        <v>0</v>
      </c>
    </row>
    <row r="118" spans="1:19" x14ac:dyDescent="0.3">
      <c r="A118" s="1">
        <v>117</v>
      </c>
      <c r="B118" s="1" t="s">
        <v>118</v>
      </c>
      <c r="C118" s="1">
        <v>5839205</v>
      </c>
      <c r="D118" s="1" t="s">
        <v>204</v>
      </c>
      <c r="E118" s="1">
        <v>26</v>
      </c>
      <c r="F118" s="1" t="str">
        <f t="shared" si="2"/>
        <v>Teenager</v>
      </c>
      <c r="G118" s="2">
        <v>44818</v>
      </c>
      <c r="H118" s="2" t="str">
        <f t="shared" si="3"/>
        <v>Sep</v>
      </c>
      <c r="I118" s="1" t="s">
        <v>209</v>
      </c>
      <c r="J118" s="1" t="s">
        <v>213</v>
      </c>
      <c r="K118" s="1" t="s">
        <v>336</v>
      </c>
      <c r="L118" s="1" t="s">
        <v>425</v>
      </c>
      <c r="M118" s="1" t="s">
        <v>438</v>
      </c>
      <c r="N118" s="1">
        <v>4</v>
      </c>
      <c r="O118" s="1">
        <v>1650</v>
      </c>
      <c r="P118" s="1" t="s">
        <v>555</v>
      </c>
      <c r="Q118" s="1" t="s">
        <v>653</v>
      </c>
      <c r="R118" s="1">
        <v>220007</v>
      </c>
      <c r="S118" s="1" t="b">
        <v>1</v>
      </c>
    </row>
    <row r="119" spans="1:19" x14ac:dyDescent="0.3">
      <c r="A119" s="1">
        <v>118</v>
      </c>
      <c r="B119" s="1" t="s">
        <v>119</v>
      </c>
      <c r="C119" s="1">
        <v>4938574</v>
      </c>
      <c r="D119" s="1" t="s">
        <v>204</v>
      </c>
      <c r="E119" s="1">
        <v>35</v>
      </c>
      <c r="F119" s="1" t="str">
        <f t="shared" si="2"/>
        <v>Adult</v>
      </c>
      <c r="G119" s="2">
        <v>44819</v>
      </c>
      <c r="H119" s="2" t="str">
        <f t="shared" si="3"/>
        <v>Sep</v>
      </c>
      <c r="I119" s="1" t="s">
        <v>210</v>
      </c>
      <c r="J119" s="1" t="s">
        <v>218</v>
      </c>
      <c r="K119" s="1" t="s">
        <v>337</v>
      </c>
      <c r="L119" s="1" t="s">
        <v>426</v>
      </c>
      <c r="M119" s="1" t="s">
        <v>430</v>
      </c>
      <c r="N119" s="1">
        <v>5</v>
      </c>
      <c r="O119" s="1">
        <v>3200</v>
      </c>
      <c r="P119" s="1" t="s">
        <v>556</v>
      </c>
      <c r="Q119" s="1" t="s">
        <v>654</v>
      </c>
      <c r="R119" s="1">
        <v>220008</v>
      </c>
      <c r="S119" s="1" t="b">
        <v>0</v>
      </c>
    </row>
    <row r="120" spans="1:19" x14ac:dyDescent="0.3">
      <c r="A120" s="1">
        <v>119</v>
      </c>
      <c r="B120" s="1" t="s">
        <v>120</v>
      </c>
      <c r="C120" s="1">
        <v>3029482</v>
      </c>
      <c r="D120" s="1" t="s">
        <v>205</v>
      </c>
      <c r="E120" s="1">
        <v>33</v>
      </c>
      <c r="F120" s="1" t="str">
        <f t="shared" si="2"/>
        <v>Adult</v>
      </c>
      <c r="G120" s="2">
        <v>44820</v>
      </c>
      <c r="H120" s="2" t="str">
        <f t="shared" si="3"/>
        <v>Sep</v>
      </c>
      <c r="I120" s="1" t="s">
        <v>209</v>
      </c>
      <c r="J120" s="1" t="s">
        <v>214</v>
      </c>
      <c r="K120" s="1" t="s">
        <v>338</v>
      </c>
      <c r="L120" s="1" t="s">
        <v>427</v>
      </c>
      <c r="M120" s="1" t="s">
        <v>431</v>
      </c>
      <c r="N120" s="1">
        <v>1</v>
      </c>
      <c r="O120" s="1">
        <v>410</v>
      </c>
      <c r="P120" s="1" t="s">
        <v>557</v>
      </c>
      <c r="Q120" s="1" t="s">
        <v>655</v>
      </c>
      <c r="R120" s="1">
        <v>220009</v>
      </c>
      <c r="S120" s="1" t="b">
        <v>1</v>
      </c>
    </row>
    <row r="121" spans="1:19" x14ac:dyDescent="0.3">
      <c r="A121" s="1">
        <v>120</v>
      </c>
      <c r="B121" s="1" t="s">
        <v>121</v>
      </c>
      <c r="C121" s="1">
        <v>7193843</v>
      </c>
      <c r="D121" s="1" t="s">
        <v>204</v>
      </c>
      <c r="E121" s="1">
        <v>39</v>
      </c>
      <c r="F121" s="1" t="str">
        <f t="shared" si="2"/>
        <v>Adult</v>
      </c>
      <c r="G121" s="2">
        <v>44821</v>
      </c>
      <c r="H121" s="2" t="str">
        <f t="shared" si="3"/>
        <v>Sep</v>
      </c>
      <c r="I121" s="1" t="s">
        <v>209</v>
      </c>
      <c r="J121" s="1" t="s">
        <v>215</v>
      </c>
      <c r="K121" s="1" t="s">
        <v>339</v>
      </c>
      <c r="L121" s="1" t="s">
        <v>428</v>
      </c>
      <c r="M121" s="1" t="s">
        <v>432</v>
      </c>
      <c r="N121" s="1">
        <v>2</v>
      </c>
      <c r="O121" s="1">
        <v>1850</v>
      </c>
      <c r="P121" s="1" t="s">
        <v>558</v>
      </c>
      <c r="Q121" s="1" t="s">
        <v>656</v>
      </c>
      <c r="R121" s="1">
        <v>220010</v>
      </c>
      <c r="S121" s="1" t="b">
        <v>0</v>
      </c>
    </row>
    <row r="122" spans="1:19" x14ac:dyDescent="0.3">
      <c r="A122" s="1">
        <v>121</v>
      </c>
      <c r="B122" s="1" t="s">
        <v>122</v>
      </c>
      <c r="C122" s="1">
        <v>4839206</v>
      </c>
      <c r="D122" s="1" t="s">
        <v>204</v>
      </c>
      <c r="E122" s="1">
        <v>27</v>
      </c>
      <c r="F122" s="1" t="str">
        <f t="shared" si="2"/>
        <v>Teenager</v>
      </c>
      <c r="G122" s="2">
        <v>44822</v>
      </c>
      <c r="H122" s="2" t="str">
        <f t="shared" si="3"/>
        <v>Sep</v>
      </c>
      <c r="I122" s="1" t="s">
        <v>209</v>
      </c>
      <c r="J122" s="1" t="s">
        <v>213</v>
      </c>
      <c r="K122" s="1" t="s">
        <v>340</v>
      </c>
      <c r="L122" s="1" t="s">
        <v>421</v>
      </c>
      <c r="M122" s="1" t="s">
        <v>433</v>
      </c>
      <c r="N122" s="1">
        <v>3</v>
      </c>
      <c r="O122" s="1">
        <v>2800</v>
      </c>
      <c r="P122" s="1" t="s">
        <v>559</v>
      </c>
      <c r="Q122" s="1" t="s">
        <v>638</v>
      </c>
      <c r="R122" s="1">
        <v>230001</v>
      </c>
      <c r="S122" s="1" t="b">
        <v>1</v>
      </c>
    </row>
    <row r="123" spans="1:19" x14ac:dyDescent="0.3">
      <c r="A123" s="1">
        <v>122</v>
      </c>
      <c r="B123" s="1" t="s">
        <v>123</v>
      </c>
      <c r="C123" s="1">
        <v>5942032</v>
      </c>
      <c r="D123" s="1" t="s">
        <v>204</v>
      </c>
      <c r="E123" s="1">
        <v>42</v>
      </c>
      <c r="F123" s="1" t="str">
        <f t="shared" si="2"/>
        <v>Adult</v>
      </c>
      <c r="G123" s="2">
        <v>44823</v>
      </c>
      <c r="H123" s="2" t="str">
        <f t="shared" si="3"/>
        <v>Sep</v>
      </c>
      <c r="I123" s="1" t="s">
        <v>209</v>
      </c>
      <c r="J123" s="1" t="s">
        <v>216</v>
      </c>
      <c r="K123" s="1" t="s">
        <v>341</v>
      </c>
      <c r="L123" s="1" t="s">
        <v>422</v>
      </c>
      <c r="M123" s="1" t="s">
        <v>434</v>
      </c>
      <c r="N123" s="1">
        <v>4</v>
      </c>
      <c r="O123" s="1">
        <v>425</v>
      </c>
      <c r="P123" s="1" t="s">
        <v>560</v>
      </c>
      <c r="Q123" s="1" t="s">
        <v>441</v>
      </c>
      <c r="R123" s="1">
        <v>230002</v>
      </c>
      <c r="S123" s="1" t="b">
        <v>0</v>
      </c>
    </row>
    <row r="124" spans="1:19" x14ac:dyDescent="0.3">
      <c r="A124" s="1">
        <v>123</v>
      </c>
      <c r="B124" s="1" t="s">
        <v>124</v>
      </c>
      <c r="C124" s="1">
        <v>3849208</v>
      </c>
      <c r="D124" s="1" t="s">
        <v>204</v>
      </c>
      <c r="E124" s="1">
        <v>30</v>
      </c>
      <c r="F124" s="1" t="str">
        <f t="shared" si="2"/>
        <v>Adult</v>
      </c>
      <c r="G124" s="2">
        <v>44824</v>
      </c>
      <c r="H124" s="2" t="str">
        <f t="shared" si="3"/>
        <v>Sep</v>
      </c>
      <c r="I124" s="1" t="s">
        <v>211</v>
      </c>
      <c r="J124" s="1" t="s">
        <v>217</v>
      </c>
      <c r="K124" s="1" t="s">
        <v>342</v>
      </c>
      <c r="L124" s="1" t="s">
        <v>423</v>
      </c>
      <c r="M124" s="1" t="s">
        <v>435</v>
      </c>
      <c r="N124" s="1">
        <v>5</v>
      </c>
      <c r="O124" s="1">
        <v>1550</v>
      </c>
      <c r="P124" s="1" t="s">
        <v>561</v>
      </c>
      <c r="Q124" s="1" t="s">
        <v>639</v>
      </c>
      <c r="R124" s="1">
        <v>230003</v>
      </c>
      <c r="S124" s="1" t="b">
        <v>1</v>
      </c>
    </row>
    <row r="125" spans="1:19" x14ac:dyDescent="0.3">
      <c r="A125" s="1">
        <v>124</v>
      </c>
      <c r="B125" s="1" t="s">
        <v>125</v>
      </c>
      <c r="C125" s="1">
        <v>7293843</v>
      </c>
      <c r="D125" s="1" t="s">
        <v>205</v>
      </c>
      <c r="E125" s="1">
        <v>36</v>
      </c>
      <c r="F125" s="1" t="str">
        <f t="shared" si="2"/>
        <v>Adult</v>
      </c>
      <c r="G125" s="2">
        <v>44825</v>
      </c>
      <c r="H125" s="2" t="str">
        <f t="shared" si="3"/>
        <v>Sep</v>
      </c>
      <c r="I125" s="1" t="s">
        <v>209</v>
      </c>
      <c r="J125" s="1" t="s">
        <v>218</v>
      </c>
      <c r="K125" s="1" t="s">
        <v>343</v>
      </c>
      <c r="L125" s="1" t="s">
        <v>424</v>
      </c>
      <c r="M125" s="1" t="s">
        <v>436</v>
      </c>
      <c r="N125" s="1">
        <v>1</v>
      </c>
      <c r="O125" s="1">
        <v>3400</v>
      </c>
      <c r="P125" s="1" t="s">
        <v>562</v>
      </c>
      <c r="Q125" s="1" t="s">
        <v>640</v>
      </c>
      <c r="R125" s="1">
        <v>230004</v>
      </c>
      <c r="S125" s="1" t="b">
        <v>0</v>
      </c>
    </row>
    <row r="126" spans="1:19" x14ac:dyDescent="0.3">
      <c r="A126" s="1">
        <v>125</v>
      </c>
      <c r="B126" s="1" t="s">
        <v>126</v>
      </c>
      <c r="C126" s="1">
        <v>5029386</v>
      </c>
      <c r="D126" s="1" t="s">
        <v>204</v>
      </c>
      <c r="E126" s="1">
        <v>34</v>
      </c>
      <c r="F126" s="1" t="str">
        <f t="shared" si="2"/>
        <v>Adult</v>
      </c>
      <c r="G126" s="2">
        <v>44826</v>
      </c>
      <c r="H126" s="2" t="str">
        <f t="shared" si="3"/>
        <v>Sep</v>
      </c>
      <c r="I126" s="1" t="s">
        <v>209</v>
      </c>
      <c r="J126" s="1" t="s">
        <v>213</v>
      </c>
      <c r="K126" s="1" t="s">
        <v>344</v>
      </c>
      <c r="L126" s="1" t="s">
        <v>425</v>
      </c>
      <c r="M126" s="1" t="s">
        <v>437</v>
      </c>
      <c r="N126" s="1">
        <v>2</v>
      </c>
      <c r="O126" s="1">
        <v>520</v>
      </c>
      <c r="P126" s="1" t="s">
        <v>563</v>
      </c>
      <c r="Q126" s="1" t="s">
        <v>641</v>
      </c>
      <c r="R126" s="1">
        <v>230005</v>
      </c>
      <c r="S126" s="1" t="b">
        <v>1</v>
      </c>
    </row>
    <row r="127" spans="1:19" x14ac:dyDescent="0.3">
      <c r="A127" s="1">
        <v>126</v>
      </c>
      <c r="B127" s="1" t="s">
        <v>127</v>
      </c>
      <c r="C127" s="1">
        <v>8392043</v>
      </c>
      <c r="D127" s="1" t="s">
        <v>204</v>
      </c>
      <c r="E127" s="1">
        <v>41</v>
      </c>
      <c r="F127" s="1" t="str">
        <f t="shared" si="2"/>
        <v>Adult</v>
      </c>
      <c r="G127" s="2">
        <v>44827</v>
      </c>
      <c r="H127" s="2" t="str">
        <f t="shared" si="3"/>
        <v>Sep</v>
      </c>
      <c r="I127" s="1" t="s">
        <v>209</v>
      </c>
      <c r="J127" s="1" t="s">
        <v>214</v>
      </c>
      <c r="K127" s="1" t="s">
        <v>345</v>
      </c>
      <c r="L127" s="1" t="s">
        <v>426</v>
      </c>
      <c r="M127" s="1" t="s">
        <v>438</v>
      </c>
      <c r="N127" s="1">
        <v>3</v>
      </c>
      <c r="O127" s="1">
        <v>1700</v>
      </c>
      <c r="P127" s="1" t="s">
        <v>564</v>
      </c>
      <c r="Q127" s="1" t="s">
        <v>642</v>
      </c>
      <c r="R127" s="1">
        <v>230006</v>
      </c>
      <c r="S127" s="1" t="b">
        <v>0</v>
      </c>
    </row>
    <row r="128" spans="1:19" x14ac:dyDescent="0.3">
      <c r="A128" s="1">
        <v>127</v>
      </c>
      <c r="B128" s="1" t="s">
        <v>128</v>
      </c>
      <c r="C128" s="1">
        <v>1749210</v>
      </c>
      <c r="D128" s="1" t="s">
        <v>204</v>
      </c>
      <c r="E128" s="1">
        <v>25</v>
      </c>
      <c r="F128" s="1" t="str">
        <f t="shared" si="2"/>
        <v>Teenager</v>
      </c>
      <c r="G128" s="2">
        <v>44887</v>
      </c>
      <c r="H128" s="2" t="str">
        <f t="shared" si="3"/>
        <v>Nov</v>
      </c>
      <c r="I128" s="1" t="s">
        <v>209</v>
      </c>
      <c r="J128" s="1" t="s">
        <v>215</v>
      </c>
      <c r="K128" s="1" t="s">
        <v>346</v>
      </c>
      <c r="L128" s="1" t="s">
        <v>427</v>
      </c>
      <c r="M128" s="1" t="s">
        <v>430</v>
      </c>
      <c r="N128" s="1">
        <v>4</v>
      </c>
      <c r="O128" s="1">
        <v>3100</v>
      </c>
      <c r="P128" s="1" t="s">
        <v>565</v>
      </c>
      <c r="Q128" s="1" t="s">
        <v>643</v>
      </c>
      <c r="R128" s="1">
        <v>230007</v>
      </c>
      <c r="S128" s="1" t="b">
        <v>1</v>
      </c>
    </row>
    <row r="129" spans="1:19" x14ac:dyDescent="0.3">
      <c r="A129" s="1">
        <v>128</v>
      </c>
      <c r="B129" s="1" t="s">
        <v>129</v>
      </c>
      <c r="C129" s="1">
        <v>5839206</v>
      </c>
      <c r="D129" s="1" t="s">
        <v>204</v>
      </c>
      <c r="E129" s="1">
        <v>38</v>
      </c>
      <c r="F129" s="1" t="str">
        <f t="shared" si="2"/>
        <v>Adult</v>
      </c>
      <c r="G129" s="2">
        <v>44887</v>
      </c>
      <c r="H129" s="2" t="str">
        <f t="shared" si="3"/>
        <v>Nov</v>
      </c>
      <c r="I129" s="1" t="s">
        <v>210</v>
      </c>
      <c r="J129" s="1" t="s">
        <v>216</v>
      </c>
      <c r="K129" s="1" t="s">
        <v>347</v>
      </c>
      <c r="L129" s="1" t="s">
        <v>428</v>
      </c>
      <c r="M129" s="1" t="s">
        <v>431</v>
      </c>
      <c r="N129" s="1">
        <v>5</v>
      </c>
      <c r="O129" s="1">
        <v>399</v>
      </c>
      <c r="P129" s="1" t="s">
        <v>566</v>
      </c>
      <c r="Q129" s="1" t="s">
        <v>644</v>
      </c>
      <c r="R129" s="1">
        <v>230008</v>
      </c>
      <c r="S129" s="1" t="b">
        <v>0</v>
      </c>
    </row>
    <row r="130" spans="1:19" x14ac:dyDescent="0.3">
      <c r="A130" s="1">
        <v>129</v>
      </c>
      <c r="B130" s="1" t="s">
        <v>130</v>
      </c>
      <c r="C130" s="1">
        <v>4938575</v>
      </c>
      <c r="D130" s="1" t="s">
        <v>205</v>
      </c>
      <c r="E130" s="1">
        <v>29</v>
      </c>
      <c r="F130" s="1" t="str">
        <f t="shared" si="2"/>
        <v>Teenager</v>
      </c>
      <c r="G130" s="2">
        <v>44887</v>
      </c>
      <c r="H130" s="2" t="str">
        <f t="shared" si="3"/>
        <v>Nov</v>
      </c>
      <c r="I130" s="1" t="s">
        <v>209</v>
      </c>
      <c r="J130" s="1" t="s">
        <v>217</v>
      </c>
      <c r="K130" s="1" t="s">
        <v>348</v>
      </c>
      <c r="L130" s="1" t="s">
        <v>421</v>
      </c>
      <c r="M130" s="1" t="s">
        <v>432</v>
      </c>
      <c r="N130" s="1">
        <v>1</v>
      </c>
      <c r="O130" s="1">
        <v>1800</v>
      </c>
      <c r="P130" s="1" t="s">
        <v>567</v>
      </c>
      <c r="Q130" s="1" t="s">
        <v>645</v>
      </c>
      <c r="R130" s="1">
        <v>230009</v>
      </c>
      <c r="S130" s="1" t="b">
        <v>1</v>
      </c>
    </row>
    <row r="131" spans="1:19" x14ac:dyDescent="0.3">
      <c r="A131" s="1">
        <v>130</v>
      </c>
      <c r="B131" s="1" t="s">
        <v>131</v>
      </c>
      <c r="C131" s="1">
        <v>3029484</v>
      </c>
      <c r="D131" s="1" t="s">
        <v>204</v>
      </c>
      <c r="E131" s="1">
        <v>44</v>
      </c>
      <c r="F131" s="1" t="str">
        <f t="shared" ref="F131:F194" si="4">IF(E131&gt;=50,"Senior",IF(E131&gt;=30,"Adult","Teenager"))</f>
        <v>Adult</v>
      </c>
      <c r="G131" s="2">
        <v>44887</v>
      </c>
      <c r="H131" s="2" t="str">
        <f t="shared" ref="H131:H194" si="5">TEXT(G131,"mmm")</f>
        <v>Nov</v>
      </c>
      <c r="I131" s="1" t="s">
        <v>209</v>
      </c>
      <c r="J131" s="1" t="s">
        <v>213</v>
      </c>
      <c r="K131" s="1" t="s">
        <v>349</v>
      </c>
      <c r="L131" s="1" t="s">
        <v>422</v>
      </c>
      <c r="M131" s="1" t="s">
        <v>433</v>
      </c>
      <c r="N131" s="1">
        <v>2</v>
      </c>
      <c r="O131" s="1">
        <v>2950</v>
      </c>
      <c r="P131" s="1" t="s">
        <v>568</v>
      </c>
      <c r="Q131" s="1" t="s">
        <v>646</v>
      </c>
      <c r="R131" s="1">
        <v>230010</v>
      </c>
      <c r="S131" s="1" t="b">
        <v>0</v>
      </c>
    </row>
    <row r="132" spans="1:19" x14ac:dyDescent="0.3">
      <c r="A132" s="1">
        <v>131</v>
      </c>
      <c r="B132" s="1" t="s">
        <v>132</v>
      </c>
      <c r="C132" s="1">
        <v>7193844</v>
      </c>
      <c r="D132" s="1" t="s">
        <v>204</v>
      </c>
      <c r="E132" s="1">
        <v>32</v>
      </c>
      <c r="F132" s="1" t="str">
        <f t="shared" si="4"/>
        <v>Adult</v>
      </c>
      <c r="G132" s="2">
        <v>44887</v>
      </c>
      <c r="H132" s="2" t="str">
        <f t="shared" si="5"/>
        <v>Nov</v>
      </c>
      <c r="I132" s="1" t="s">
        <v>209</v>
      </c>
      <c r="J132" s="1" t="s">
        <v>218</v>
      </c>
      <c r="K132" s="1" t="s">
        <v>350</v>
      </c>
      <c r="L132" s="1" t="s">
        <v>423</v>
      </c>
      <c r="M132" s="1" t="s">
        <v>434</v>
      </c>
      <c r="N132" s="1">
        <v>3</v>
      </c>
      <c r="O132" s="1">
        <v>475</v>
      </c>
      <c r="P132" s="1" t="s">
        <v>569</v>
      </c>
      <c r="Q132" s="1" t="s">
        <v>647</v>
      </c>
      <c r="R132" s="1">
        <v>240001</v>
      </c>
      <c r="S132" s="1" t="b">
        <v>1</v>
      </c>
    </row>
    <row r="133" spans="1:19" x14ac:dyDescent="0.3">
      <c r="A133" s="1">
        <v>132</v>
      </c>
      <c r="B133" s="1" t="s">
        <v>133</v>
      </c>
      <c r="C133" s="1">
        <v>4839209</v>
      </c>
      <c r="D133" s="1" t="s">
        <v>204</v>
      </c>
      <c r="E133" s="1">
        <v>37</v>
      </c>
      <c r="F133" s="1" t="str">
        <f t="shared" si="4"/>
        <v>Adult</v>
      </c>
      <c r="G133" s="2">
        <v>44886</v>
      </c>
      <c r="H133" s="2" t="str">
        <f t="shared" si="5"/>
        <v>Nov</v>
      </c>
      <c r="I133" s="1" t="s">
        <v>209</v>
      </c>
      <c r="J133" s="1" t="s">
        <v>214</v>
      </c>
      <c r="K133" s="1" t="s">
        <v>351</v>
      </c>
      <c r="L133" s="1" t="s">
        <v>424</v>
      </c>
      <c r="M133" s="1" t="s">
        <v>435</v>
      </c>
      <c r="N133" s="1">
        <v>4</v>
      </c>
      <c r="O133" s="1">
        <v>1600</v>
      </c>
      <c r="P133" s="1" t="s">
        <v>570</v>
      </c>
      <c r="Q133" s="1" t="s">
        <v>648</v>
      </c>
      <c r="R133" s="1">
        <v>240002</v>
      </c>
      <c r="S133" s="1" t="b">
        <v>0</v>
      </c>
    </row>
    <row r="134" spans="1:19" x14ac:dyDescent="0.3">
      <c r="A134" s="1">
        <v>133</v>
      </c>
      <c r="B134" s="1" t="s">
        <v>134</v>
      </c>
      <c r="C134" s="1">
        <v>5942033</v>
      </c>
      <c r="D134" s="1" t="s">
        <v>204</v>
      </c>
      <c r="E134" s="1">
        <v>28</v>
      </c>
      <c r="F134" s="1" t="str">
        <f t="shared" si="4"/>
        <v>Teenager</v>
      </c>
      <c r="G134" s="2">
        <v>44886</v>
      </c>
      <c r="H134" s="2" t="str">
        <f t="shared" si="5"/>
        <v>Nov</v>
      </c>
      <c r="I134" s="1" t="s">
        <v>211</v>
      </c>
      <c r="J134" s="1" t="s">
        <v>215</v>
      </c>
      <c r="K134" s="1" t="s">
        <v>352</v>
      </c>
      <c r="L134" s="1" t="s">
        <v>425</v>
      </c>
      <c r="M134" s="1" t="s">
        <v>436</v>
      </c>
      <c r="N134" s="1">
        <v>5</v>
      </c>
      <c r="O134" s="1">
        <v>3250</v>
      </c>
      <c r="P134" s="1" t="s">
        <v>571</v>
      </c>
      <c r="Q134" s="1" t="s">
        <v>649</v>
      </c>
      <c r="R134" s="1">
        <v>240003</v>
      </c>
      <c r="S134" s="1" t="b">
        <v>1</v>
      </c>
    </row>
    <row r="135" spans="1:19" x14ac:dyDescent="0.3">
      <c r="A135" s="1">
        <v>134</v>
      </c>
      <c r="B135" s="1" t="s">
        <v>135</v>
      </c>
      <c r="C135" s="1">
        <v>3849210</v>
      </c>
      <c r="D135" s="1" t="s">
        <v>205</v>
      </c>
      <c r="E135" s="1">
        <v>40</v>
      </c>
      <c r="F135" s="1" t="str">
        <f t="shared" si="4"/>
        <v>Adult</v>
      </c>
      <c r="G135" s="2">
        <v>44886</v>
      </c>
      <c r="H135" s="2" t="str">
        <f t="shared" si="5"/>
        <v>Nov</v>
      </c>
      <c r="I135" s="1" t="s">
        <v>209</v>
      </c>
      <c r="J135" s="1" t="s">
        <v>213</v>
      </c>
      <c r="K135" s="1" t="s">
        <v>353</v>
      </c>
      <c r="L135" s="1" t="s">
        <v>426</v>
      </c>
      <c r="M135" s="1" t="s">
        <v>437</v>
      </c>
      <c r="N135" s="1">
        <v>1</v>
      </c>
      <c r="O135" s="1">
        <v>520</v>
      </c>
      <c r="P135" s="1" t="s">
        <v>572</v>
      </c>
      <c r="Q135" s="1" t="s">
        <v>650</v>
      </c>
      <c r="R135" s="1">
        <v>240004</v>
      </c>
      <c r="S135" s="1" t="b">
        <v>0</v>
      </c>
    </row>
    <row r="136" spans="1:19" x14ac:dyDescent="0.3">
      <c r="A136" s="1">
        <v>135</v>
      </c>
      <c r="B136" s="1" t="s">
        <v>136</v>
      </c>
      <c r="C136" s="1">
        <v>7293844</v>
      </c>
      <c r="D136" s="1" t="s">
        <v>204</v>
      </c>
      <c r="E136" s="1">
        <v>26</v>
      </c>
      <c r="F136" s="1" t="str">
        <f t="shared" si="4"/>
        <v>Teenager</v>
      </c>
      <c r="G136" s="2">
        <v>44886</v>
      </c>
      <c r="H136" s="2" t="str">
        <f t="shared" si="5"/>
        <v>Nov</v>
      </c>
      <c r="I136" s="1" t="s">
        <v>209</v>
      </c>
      <c r="J136" s="1" t="s">
        <v>216</v>
      </c>
      <c r="K136" s="1" t="s">
        <v>354</v>
      </c>
      <c r="L136" s="1" t="s">
        <v>427</v>
      </c>
      <c r="M136" s="1" t="s">
        <v>438</v>
      </c>
      <c r="N136" s="1">
        <v>2</v>
      </c>
      <c r="O136" s="1">
        <v>1950</v>
      </c>
      <c r="P136" s="1" t="s">
        <v>573</v>
      </c>
      <c r="Q136" s="1" t="s">
        <v>651</v>
      </c>
      <c r="R136" s="1">
        <v>240005</v>
      </c>
      <c r="S136" s="1" t="b">
        <v>1</v>
      </c>
    </row>
    <row r="137" spans="1:19" x14ac:dyDescent="0.3">
      <c r="A137" s="1">
        <v>136</v>
      </c>
      <c r="B137" s="1" t="s">
        <v>137</v>
      </c>
      <c r="C137" s="1">
        <v>5029388</v>
      </c>
      <c r="D137" s="1" t="s">
        <v>204</v>
      </c>
      <c r="E137" s="1">
        <v>35</v>
      </c>
      <c r="F137" s="1" t="str">
        <f t="shared" si="4"/>
        <v>Adult</v>
      </c>
      <c r="G137" s="2">
        <v>44886</v>
      </c>
      <c r="H137" s="2" t="str">
        <f t="shared" si="5"/>
        <v>Nov</v>
      </c>
      <c r="I137" s="1" t="s">
        <v>209</v>
      </c>
      <c r="J137" s="1" t="s">
        <v>217</v>
      </c>
      <c r="K137" s="1" t="s">
        <v>355</v>
      </c>
      <c r="L137" s="1" t="s">
        <v>428</v>
      </c>
      <c r="M137" s="1" t="s">
        <v>430</v>
      </c>
      <c r="N137" s="1">
        <v>3</v>
      </c>
      <c r="O137" s="1">
        <v>2850</v>
      </c>
      <c r="P137" s="1" t="s">
        <v>574</v>
      </c>
      <c r="Q137" s="1" t="s">
        <v>652</v>
      </c>
      <c r="R137" s="1">
        <v>240006</v>
      </c>
      <c r="S137" s="1" t="b">
        <v>0</v>
      </c>
    </row>
    <row r="138" spans="1:19" x14ac:dyDescent="0.3">
      <c r="A138" s="1">
        <v>137</v>
      </c>
      <c r="B138" s="1" t="s">
        <v>138</v>
      </c>
      <c r="C138" s="1">
        <v>8392044</v>
      </c>
      <c r="D138" s="1" t="s">
        <v>204</v>
      </c>
      <c r="E138" s="1">
        <v>33</v>
      </c>
      <c r="F138" s="1" t="str">
        <f t="shared" si="4"/>
        <v>Adult</v>
      </c>
      <c r="G138" s="2">
        <v>44886</v>
      </c>
      <c r="H138" s="2" t="str">
        <f t="shared" si="5"/>
        <v>Nov</v>
      </c>
      <c r="I138" s="1" t="s">
        <v>209</v>
      </c>
      <c r="J138" s="1" t="s">
        <v>218</v>
      </c>
      <c r="K138" s="1" t="s">
        <v>356</v>
      </c>
      <c r="L138" s="1" t="s">
        <v>421</v>
      </c>
      <c r="M138" s="1" t="s">
        <v>431</v>
      </c>
      <c r="N138" s="1">
        <v>4</v>
      </c>
      <c r="O138" s="1">
        <v>410</v>
      </c>
      <c r="P138" s="1" t="s">
        <v>575</v>
      </c>
      <c r="Q138" s="1" t="s">
        <v>653</v>
      </c>
      <c r="R138" s="1">
        <v>240007</v>
      </c>
      <c r="S138" s="1" t="b">
        <v>1</v>
      </c>
    </row>
    <row r="139" spans="1:19" x14ac:dyDescent="0.3">
      <c r="A139" s="1">
        <v>138</v>
      </c>
      <c r="B139" s="1" t="s">
        <v>139</v>
      </c>
      <c r="C139" s="1">
        <v>1749211</v>
      </c>
      <c r="D139" s="1" t="s">
        <v>204</v>
      </c>
      <c r="E139" s="1">
        <v>39</v>
      </c>
      <c r="F139" s="1" t="str">
        <f t="shared" si="4"/>
        <v>Adult</v>
      </c>
      <c r="G139" s="2">
        <v>44886</v>
      </c>
      <c r="H139" s="2" t="str">
        <f t="shared" si="5"/>
        <v>Nov</v>
      </c>
      <c r="I139" s="1" t="s">
        <v>210</v>
      </c>
      <c r="J139" s="1" t="s">
        <v>213</v>
      </c>
      <c r="K139" s="1" t="s">
        <v>357</v>
      </c>
      <c r="L139" s="1" t="s">
        <v>422</v>
      </c>
      <c r="M139" s="1" t="s">
        <v>432</v>
      </c>
      <c r="N139" s="1">
        <v>5</v>
      </c>
      <c r="O139" s="1">
        <v>1500</v>
      </c>
      <c r="P139" s="1" t="s">
        <v>569</v>
      </c>
      <c r="Q139" s="1" t="s">
        <v>654</v>
      </c>
      <c r="R139" s="1">
        <v>240008</v>
      </c>
      <c r="S139" s="1" t="b">
        <v>0</v>
      </c>
    </row>
    <row r="140" spans="1:19" x14ac:dyDescent="0.3">
      <c r="A140" s="1">
        <v>139</v>
      </c>
      <c r="B140" s="1" t="s">
        <v>140</v>
      </c>
      <c r="C140" s="1">
        <v>5839207</v>
      </c>
      <c r="D140" s="1" t="s">
        <v>205</v>
      </c>
      <c r="E140" s="1">
        <v>27</v>
      </c>
      <c r="F140" s="1" t="str">
        <f t="shared" si="4"/>
        <v>Teenager</v>
      </c>
      <c r="G140" s="2">
        <v>44886</v>
      </c>
      <c r="H140" s="2" t="str">
        <f t="shared" si="5"/>
        <v>Nov</v>
      </c>
      <c r="I140" s="1" t="s">
        <v>209</v>
      </c>
      <c r="J140" s="1" t="s">
        <v>214</v>
      </c>
      <c r="K140" s="1" t="s">
        <v>358</v>
      </c>
      <c r="L140" s="1" t="s">
        <v>423</v>
      </c>
      <c r="M140" s="1" t="s">
        <v>433</v>
      </c>
      <c r="N140" s="1">
        <v>1</v>
      </c>
      <c r="O140" s="1">
        <v>3050</v>
      </c>
      <c r="P140" s="1" t="s">
        <v>576</v>
      </c>
      <c r="Q140" s="1" t="s">
        <v>655</v>
      </c>
      <c r="R140" s="1">
        <v>240009</v>
      </c>
      <c r="S140" s="1" t="b">
        <v>1</v>
      </c>
    </row>
    <row r="141" spans="1:19" x14ac:dyDescent="0.3">
      <c r="A141" s="1">
        <v>140</v>
      </c>
      <c r="B141" s="1" t="s">
        <v>141</v>
      </c>
      <c r="C141" s="1">
        <v>4938576</v>
      </c>
      <c r="D141" s="1" t="s">
        <v>204</v>
      </c>
      <c r="E141" s="1">
        <v>42</v>
      </c>
      <c r="F141" s="1" t="str">
        <f t="shared" si="4"/>
        <v>Adult</v>
      </c>
      <c r="G141" s="2">
        <v>44886</v>
      </c>
      <c r="H141" s="2" t="str">
        <f t="shared" si="5"/>
        <v>Nov</v>
      </c>
      <c r="I141" s="1" t="s">
        <v>209</v>
      </c>
      <c r="J141" s="1" t="s">
        <v>215</v>
      </c>
      <c r="K141" s="1" t="s">
        <v>359</v>
      </c>
      <c r="L141" s="1" t="s">
        <v>424</v>
      </c>
      <c r="M141" s="1" t="s">
        <v>434</v>
      </c>
      <c r="N141" s="1">
        <v>2</v>
      </c>
      <c r="O141" s="1">
        <v>425</v>
      </c>
      <c r="P141" s="1" t="s">
        <v>577</v>
      </c>
      <c r="Q141" s="1" t="s">
        <v>656</v>
      </c>
      <c r="R141" s="1">
        <v>240010</v>
      </c>
      <c r="S141" s="1" t="b">
        <v>0</v>
      </c>
    </row>
    <row r="142" spans="1:19" x14ac:dyDescent="0.3">
      <c r="A142" s="1">
        <v>141</v>
      </c>
      <c r="B142" s="1" t="s">
        <v>142</v>
      </c>
      <c r="C142" s="1">
        <v>3029485</v>
      </c>
      <c r="D142" s="1" t="s">
        <v>204</v>
      </c>
      <c r="E142" s="1">
        <v>30</v>
      </c>
      <c r="F142" s="1" t="str">
        <f t="shared" si="4"/>
        <v>Adult</v>
      </c>
      <c r="G142" s="2">
        <v>44886</v>
      </c>
      <c r="H142" s="2" t="str">
        <f t="shared" si="5"/>
        <v>Nov</v>
      </c>
      <c r="I142" s="1" t="s">
        <v>209</v>
      </c>
      <c r="J142" s="1" t="s">
        <v>216</v>
      </c>
      <c r="K142" s="1" t="s">
        <v>360</v>
      </c>
      <c r="L142" s="1" t="s">
        <v>425</v>
      </c>
      <c r="M142" s="1" t="s">
        <v>435</v>
      </c>
      <c r="N142" s="1">
        <v>3</v>
      </c>
      <c r="O142" s="1">
        <v>1750</v>
      </c>
      <c r="P142" s="1" t="s">
        <v>578</v>
      </c>
      <c r="Q142" s="1" t="s">
        <v>638</v>
      </c>
      <c r="R142" s="1">
        <v>250001</v>
      </c>
      <c r="S142" s="1" t="b">
        <v>1</v>
      </c>
    </row>
    <row r="143" spans="1:19" x14ac:dyDescent="0.3">
      <c r="A143" s="1">
        <v>142</v>
      </c>
      <c r="B143" s="1" t="s">
        <v>143</v>
      </c>
      <c r="C143" s="1">
        <v>7193845</v>
      </c>
      <c r="D143" s="1" t="s">
        <v>204</v>
      </c>
      <c r="E143" s="1">
        <v>36</v>
      </c>
      <c r="F143" s="1" t="str">
        <f t="shared" si="4"/>
        <v>Adult</v>
      </c>
      <c r="G143" s="2">
        <v>44885</v>
      </c>
      <c r="H143" s="2" t="str">
        <f t="shared" si="5"/>
        <v>Nov</v>
      </c>
      <c r="I143" s="1" t="s">
        <v>209</v>
      </c>
      <c r="J143" s="1" t="s">
        <v>217</v>
      </c>
      <c r="K143" s="1" t="s">
        <v>361</v>
      </c>
      <c r="L143" s="1" t="s">
        <v>426</v>
      </c>
      <c r="M143" s="1" t="s">
        <v>436</v>
      </c>
      <c r="N143" s="1">
        <v>4</v>
      </c>
      <c r="O143" s="1">
        <v>3000</v>
      </c>
      <c r="P143" s="1" t="s">
        <v>579</v>
      </c>
      <c r="Q143" s="1" t="s">
        <v>441</v>
      </c>
      <c r="R143" s="1">
        <v>250002</v>
      </c>
      <c r="S143" s="1" t="b">
        <v>0</v>
      </c>
    </row>
    <row r="144" spans="1:19" x14ac:dyDescent="0.3">
      <c r="A144" s="1">
        <v>143</v>
      </c>
      <c r="B144" s="1" t="s">
        <v>144</v>
      </c>
      <c r="C144" s="1">
        <v>4839210</v>
      </c>
      <c r="D144" s="1" t="s">
        <v>204</v>
      </c>
      <c r="E144" s="1">
        <v>34</v>
      </c>
      <c r="F144" s="1" t="str">
        <f t="shared" si="4"/>
        <v>Adult</v>
      </c>
      <c r="G144" s="2">
        <v>44885</v>
      </c>
      <c r="H144" s="2" t="str">
        <f t="shared" si="5"/>
        <v>Nov</v>
      </c>
      <c r="I144" s="1" t="s">
        <v>211</v>
      </c>
      <c r="J144" s="1" t="s">
        <v>213</v>
      </c>
      <c r="K144" s="1" t="s">
        <v>362</v>
      </c>
      <c r="L144" s="1" t="s">
        <v>427</v>
      </c>
      <c r="M144" s="1" t="s">
        <v>437</v>
      </c>
      <c r="N144" s="1">
        <v>5</v>
      </c>
      <c r="O144" s="1">
        <v>499</v>
      </c>
      <c r="P144" s="1" t="s">
        <v>580</v>
      </c>
      <c r="Q144" s="1" t="s">
        <v>639</v>
      </c>
      <c r="R144" s="1">
        <v>250003</v>
      </c>
      <c r="S144" s="1" t="b">
        <v>1</v>
      </c>
    </row>
    <row r="145" spans="1:19" x14ac:dyDescent="0.3">
      <c r="A145" s="1">
        <v>144</v>
      </c>
      <c r="B145" s="1" t="s">
        <v>145</v>
      </c>
      <c r="C145" s="1">
        <v>5942034</v>
      </c>
      <c r="D145" s="1" t="s">
        <v>205</v>
      </c>
      <c r="E145" s="1">
        <v>41</v>
      </c>
      <c r="F145" s="1" t="str">
        <f t="shared" si="4"/>
        <v>Adult</v>
      </c>
      <c r="G145" s="2">
        <v>44885</v>
      </c>
      <c r="H145" s="2" t="str">
        <f t="shared" si="5"/>
        <v>Nov</v>
      </c>
      <c r="I145" s="1" t="s">
        <v>209</v>
      </c>
      <c r="J145" s="1" t="s">
        <v>218</v>
      </c>
      <c r="K145" s="1" t="s">
        <v>363</v>
      </c>
      <c r="L145" s="1" t="s">
        <v>428</v>
      </c>
      <c r="M145" s="1" t="s">
        <v>438</v>
      </c>
      <c r="N145" s="1">
        <v>1</v>
      </c>
      <c r="O145" s="1">
        <v>1650</v>
      </c>
      <c r="P145" s="1" t="s">
        <v>581</v>
      </c>
      <c r="Q145" s="1" t="s">
        <v>640</v>
      </c>
      <c r="R145" s="1">
        <v>250004</v>
      </c>
      <c r="S145" s="1" t="b">
        <v>0</v>
      </c>
    </row>
    <row r="146" spans="1:19" x14ac:dyDescent="0.3">
      <c r="A146" s="1">
        <v>145</v>
      </c>
      <c r="B146" s="1" t="s">
        <v>146</v>
      </c>
      <c r="C146" s="1">
        <v>3849211</v>
      </c>
      <c r="D146" s="1" t="s">
        <v>204</v>
      </c>
      <c r="E146" s="1">
        <v>25</v>
      </c>
      <c r="F146" s="1" t="str">
        <f t="shared" si="4"/>
        <v>Teenager</v>
      </c>
      <c r="G146" s="2">
        <v>44885</v>
      </c>
      <c r="H146" s="2" t="str">
        <f t="shared" si="5"/>
        <v>Nov</v>
      </c>
      <c r="I146" s="1" t="s">
        <v>209</v>
      </c>
      <c r="J146" s="1" t="s">
        <v>214</v>
      </c>
      <c r="K146" s="1" t="s">
        <v>364</v>
      </c>
      <c r="L146" s="1" t="s">
        <v>421</v>
      </c>
      <c r="M146" s="1" t="s">
        <v>430</v>
      </c>
      <c r="N146" s="1">
        <v>2</v>
      </c>
      <c r="O146" s="1">
        <v>3200</v>
      </c>
      <c r="P146" s="1" t="s">
        <v>582</v>
      </c>
      <c r="Q146" s="1" t="s">
        <v>641</v>
      </c>
      <c r="R146" s="1">
        <v>250005</v>
      </c>
      <c r="S146" s="1" t="b">
        <v>1</v>
      </c>
    </row>
    <row r="147" spans="1:19" x14ac:dyDescent="0.3">
      <c r="A147" s="1">
        <v>146</v>
      </c>
      <c r="B147" s="1" t="s">
        <v>156</v>
      </c>
      <c r="C147" s="1">
        <v>7293845</v>
      </c>
      <c r="D147" s="1" t="s">
        <v>204</v>
      </c>
      <c r="E147" s="1">
        <v>38</v>
      </c>
      <c r="F147" s="1" t="str">
        <f t="shared" si="4"/>
        <v>Adult</v>
      </c>
      <c r="G147" s="2">
        <v>44885</v>
      </c>
      <c r="H147" s="2" t="str">
        <f t="shared" si="5"/>
        <v>Nov</v>
      </c>
      <c r="I147" s="1" t="s">
        <v>209</v>
      </c>
      <c r="J147" s="1" t="s">
        <v>215</v>
      </c>
      <c r="K147" s="1" t="s">
        <v>365</v>
      </c>
      <c r="L147" s="1" t="s">
        <v>422</v>
      </c>
      <c r="M147" s="1" t="s">
        <v>431</v>
      </c>
      <c r="N147" s="1">
        <v>3</v>
      </c>
      <c r="O147" s="1">
        <v>395</v>
      </c>
      <c r="P147" s="1" t="s">
        <v>583</v>
      </c>
      <c r="Q147" s="1" t="s">
        <v>642</v>
      </c>
      <c r="R147" s="1">
        <v>250006</v>
      </c>
      <c r="S147" s="1" t="b">
        <v>0</v>
      </c>
    </row>
    <row r="148" spans="1:19" x14ac:dyDescent="0.3">
      <c r="A148" s="1">
        <v>147</v>
      </c>
      <c r="B148" s="1" t="s">
        <v>147</v>
      </c>
      <c r="C148" s="1">
        <v>5029390</v>
      </c>
      <c r="D148" s="1" t="s">
        <v>204</v>
      </c>
      <c r="E148" s="1">
        <v>29</v>
      </c>
      <c r="F148" s="1" t="str">
        <f t="shared" si="4"/>
        <v>Teenager</v>
      </c>
      <c r="G148" s="2">
        <v>44885</v>
      </c>
      <c r="H148" s="2" t="str">
        <f t="shared" si="5"/>
        <v>Nov</v>
      </c>
      <c r="I148" s="1" t="s">
        <v>209</v>
      </c>
      <c r="J148" s="1" t="s">
        <v>213</v>
      </c>
      <c r="K148" s="1" t="s">
        <v>366</v>
      </c>
      <c r="L148" s="1" t="s">
        <v>423</v>
      </c>
      <c r="M148" s="1" t="s">
        <v>432</v>
      </c>
      <c r="N148" s="1">
        <v>4</v>
      </c>
      <c r="O148" s="1">
        <v>1800</v>
      </c>
      <c r="P148" s="1" t="s">
        <v>584</v>
      </c>
      <c r="Q148" s="1" t="s">
        <v>643</v>
      </c>
      <c r="R148" s="1">
        <v>250007</v>
      </c>
      <c r="S148" s="1" t="b">
        <v>1</v>
      </c>
    </row>
    <row r="149" spans="1:19" x14ac:dyDescent="0.3">
      <c r="A149" s="1">
        <v>148</v>
      </c>
      <c r="B149" s="1" t="s">
        <v>148</v>
      </c>
      <c r="C149" s="1">
        <v>8392045</v>
      </c>
      <c r="D149" s="1" t="s">
        <v>204</v>
      </c>
      <c r="E149" s="1">
        <v>43</v>
      </c>
      <c r="F149" s="1" t="str">
        <f t="shared" si="4"/>
        <v>Adult</v>
      </c>
      <c r="G149" s="2">
        <v>44885</v>
      </c>
      <c r="H149" s="2" t="str">
        <f t="shared" si="5"/>
        <v>Nov</v>
      </c>
      <c r="I149" s="1" t="s">
        <v>210</v>
      </c>
      <c r="J149" s="1" t="s">
        <v>216</v>
      </c>
      <c r="K149" s="1" t="s">
        <v>367</v>
      </c>
      <c r="L149" s="1" t="s">
        <v>424</v>
      </c>
      <c r="M149" s="1" t="s">
        <v>433</v>
      </c>
      <c r="N149" s="1">
        <v>5</v>
      </c>
      <c r="O149" s="1">
        <v>3100</v>
      </c>
      <c r="P149" s="1" t="s">
        <v>585</v>
      </c>
      <c r="Q149" s="1" t="s">
        <v>644</v>
      </c>
      <c r="R149" s="1">
        <v>250008</v>
      </c>
      <c r="S149" s="1" t="b">
        <v>0</v>
      </c>
    </row>
    <row r="150" spans="1:19" x14ac:dyDescent="0.3">
      <c r="A150" s="1">
        <v>149</v>
      </c>
      <c r="B150" s="1" t="s">
        <v>149</v>
      </c>
      <c r="C150" s="1">
        <v>1749212</v>
      </c>
      <c r="D150" s="1" t="s">
        <v>205</v>
      </c>
      <c r="E150" s="1">
        <v>32</v>
      </c>
      <c r="F150" s="1" t="str">
        <f t="shared" si="4"/>
        <v>Adult</v>
      </c>
      <c r="G150" s="2">
        <v>44885</v>
      </c>
      <c r="H150" s="2" t="str">
        <f t="shared" si="5"/>
        <v>Nov</v>
      </c>
      <c r="I150" s="1" t="s">
        <v>209</v>
      </c>
      <c r="J150" s="1" t="s">
        <v>217</v>
      </c>
      <c r="K150" s="1" t="s">
        <v>368</v>
      </c>
      <c r="L150" s="1" t="s">
        <v>425</v>
      </c>
      <c r="M150" s="1" t="s">
        <v>434</v>
      </c>
      <c r="N150" s="1">
        <v>1</v>
      </c>
      <c r="O150" s="1">
        <v>520</v>
      </c>
      <c r="P150" s="1" t="s">
        <v>586</v>
      </c>
      <c r="Q150" s="1" t="s">
        <v>645</v>
      </c>
      <c r="R150" s="1">
        <v>250009</v>
      </c>
      <c r="S150" s="1" t="b">
        <v>1</v>
      </c>
    </row>
    <row r="151" spans="1:19" x14ac:dyDescent="0.3">
      <c r="A151" s="1">
        <v>150</v>
      </c>
      <c r="B151" s="1" t="s">
        <v>150</v>
      </c>
      <c r="C151" s="1">
        <v>5839208</v>
      </c>
      <c r="D151" s="1" t="s">
        <v>204</v>
      </c>
      <c r="E151" s="1">
        <v>37</v>
      </c>
      <c r="F151" s="1" t="str">
        <f t="shared" si="4"/>
        <v>Adult</v>
      </c>
      <c r="G151" s="2">
        <v>44885</v>
      </c>
      <c r="H151" s="2" t="str">
        <f t="shared" si="5"/>
        <v>Nov</v>
      </c>
      <c r="I151" s="1" t="s">
        <v>209</v>
      </c>
      <c r="J151" s="1" t="s">
        <v>218</v>
      </c>
      <c r="K151" s="1" t="s">
        <v>369</v>
      </c>
      <c r="L151" s="1" t="s">
        <v>426</v>
      </c>
      <c r="M151" s="1" t="s">
        <v>435</v>
      </c>
      <c r="N151" s="1">
        <v>2</v>
      </c>
      <c r="O151" s="1">
        <v>1550</v>
      </c>
      <c r="P151" s="1" t="s">
        <v>587</v>
      </c>
      <c r="Q151" s="1" t="s">
        <v>646</v>
      </c>
      <c r="R151" s="1">
        <v>250010</v>
      </c>
      <c r="S151" s="1" t="b">
        <v>0</v>
      </c>
    </row>
    <row r="152" spans="1:19" x14ac:dyDescent="0.3">
      <c r="A152" s="1">
        <v>151</v>
      </c>
      <c r="B152" s="1" t="s">
        <v>151</v>
      </c>
      <c r="C152" s="1">
        <v>4938577</v>
      </c>
      <c r="D152" s="1" t="s">
        <v>204</v>
      </c>
      <c r="E152" s="1">
        <v>28</v>
      </c>
      <c r="F152" s="1" t="str">
        <f t="shared" si="4"/>
        <v>Teenager</v>
      </c>
      <c r="G152" s="2">
        <v>44885</v>
      </c>
      <c r="H152" s="2" t="str">
        <f t="shared" si="5"/>
        <v>Nov</v>
      </c>
      <c r="I152" s="1" t="s">
        <v>209</v>
      </c>
      <c r="J152" s="1" t="s">
        <v>213</v>
      </c>
      <c r="K152" s="1" t="s">
        <v>370</v>
      </c>
      <c r="L152" s="1" t="s">
        <v>427</v>
      </c>
      <c r="M152" s="1" t="s">
        <v>436</v>
      </c>
      <c r="N152" s="1">
        <v>3</v>
      </c>
      <c r="O152" s="1">
        <v>2950</v>
      </c>
      <c r="P152" s="1" t="s">
        <v>588</v>
      </c>
      <c r="Q152" s="1" t="s">
        <v>647</v>
      </c>
      <c r="R152" s="1">
        <v>260001</v>
      </c>
      <c r="S152" s="1" t="b">
        <v>1</v>
      </c>
    </row>
    <row r="153" spans="1:19" x14ac:dyDescent="0.3">
      <c r="A153" s="1">
        <v>152</v>
      </c>
      <c r="B153" s="1" t="s">
        <v>152</v>
      </c>
      <c r="C153" s="1">
        <v>3029486</v>
      </c>
      <c r="D153" s="1" t="s">
        <v>204</v>
      </c>
      <c r="E153" s="1">
        <v>40</v>
      </c>
      <c r="F153" s="1" t="str">
        <f t="shared" si="4"/>
        <v>Adult</v>
      </c>
      <c r="G153" s="2">
        <v>44884</v>
      </c>
      <c r="H153" s="2" t="str">
        <f t="shared" si="5"/>
        <v>Nov</v>
      </c>
      <c r="I153" s="1" t="s">
        <v>209</v>
      </c>
      <c r="J153" s="1" t="s">
        <v>214</v>
      </c>
      <c r="K153" s="1" t="s">
        <v>371</v>
      </c>
      <c r="L153" s="1" t="s">
        <v>428</v>
      </c>
      <c r="M153" s="1" t="s">
        <v>437</v>
      </c>
      <c r="N153" s="1">
        <v>4</v>
      </c>
      <c r="O153" s="1">
        <v>410</v>
      </c>
      <c r="P153" s="1" t="s">
        <v>589</v>
      </c>
      <c r="Q153" s="1" t="s">
        <v>648</v>
      </c>
      <c r="R153" s="1">
        <v>260002</v>
      </c>
      <c r="S153" s="1" t="b">
        <v>0</v>
      </c>
    </row>
    <row r="154" spans="1:19" x14ac:dyDescent="0.3">
      <c r="A154" s="1">
        <v>153</v>
      </c>
      <c r="B154" s="1" t="s">
        <v>153</v>
      </c>
      <c r="C154" s="1">
        <v>7193846</v>
      </c>
      <c r="D154" s="1" t="s">
        <v>204</v>
      </c>
      <c r="E154" s="1">
        <v>26</v>
      </c>
      <c r="F154" s="1" t="str">
        <f t="shared" si="4"/>
        <v>Teenager</v>
      </c>
      <c r="G154" s="2">
        <v>44884</v>
      </c>
      <c r="H154" s="2" t="str">
        <f t="shared" si="5"/>
        <v>Nov</v>
      </c>
      <c r="I154" s="1" t="s">
        <v>211</v>
      </c>
      <c r="J154" s="1" t="s">
        <v>215</v>
      </c>
      <c r="K154" s="1" t="s">
        <v>372</v>
      </c>
      <c r="L154" s="1" t="s">
        <v>421</v>
      </c>
      <c r="M154" s="1" t="s">
        <v>438</v>
      </c>
      <c r="N154" s="1">
        <v>5</v>
      </c>
      <c r="O154" s="1">
        <v>1850</v>
      </c>
      <c r="P154" s="1" t="s">
        <v>590</v>
      </c>
      <c r="Q154" s="1" t="s">
        <v>649</v>
      </c>
      <c r="R154" s="1">
        <v>260003</v>
      </c>
      <c r="S154" s="1" t="b">
        <v>1</v>
      </c>
    </row>
    <row r="155" spans="1:19" x14ac:dyDescent="0.3">
      <c r="A155" s="1">
        <v>154</v>
      </c>
      <c r="B155" s="1" t="s">
        <v>154</v>
      </c>
      <c r="C155" s="1">
        <v>4839211</v>
      </c>
      <c r="D155" s="1" t="s">
        <v>205</v>
      </c>
      <c r="E155" s="1">
        <v>35</v>
      </c>
      <c r="F155" s="1" t="str">
        <f t="shared" si="4"/>
        <v>Adult</v>
      </c>
      <c r="G155" s="2">
        <v>44884</v>
      </c>
      <c r="H155" s="2" t="str">
        <f t="shared" si="5"/>
        <v>Nov</v>
      </c>
      <c r="I155" s="1" t="s">
        <v>209</v>
      </c>
      <c r="J155" s="1" t="s">
        <v>216</v>
      </c>
      <c r="K155" s="1" t="s">
        <v>373</v>
      </c>
      <c r="L155" s="1" t="s">
        <v>422</v>
      </c>
      <c r="M155" s="1" t="s">
        <v>430</v>
      </c>
      <c r="N155" s="1">
        <v>1</v>
      </c>
      <c r="O155" s="1">
        <v>2750</v>
      </c>
      <c r="P155" s="1" t="s">
        <v>591</v>
      </c>
      <c r="Q155" s="1" t="s">
        <v>650</v>
      </c>
      <c r="R155" s="1">
        <v>260004</v>
      </c>
      <c r="S155" s="1" t="b">
        <v>0</v>
      </c>
    </row>
    <row r="156" spans="1:19" x14ac:dyDescent="0.3">
      <c r="A156" s="1">
        <v>155</v>
      </c>
      <c r="B156" s="1" t="s">
        <v>155</v>
      </c>
      <c r="C156" s="1">
        <v>5942035</v>
      </c>
      <c r="D156" s="1" t="s">
        <v>204</v>
      </c>
      <c r="E156" s="1">
        <v>33</v>
      </c>
      <c r="F156" s="1" t="str">
        <f t="shared" si="4"/>
        <v>Adult</v>
      </c>
      <c r="G156" s="2">
        <v>44884</v>
      </c>
      <c r="H156" s="2" t="str">
        <f t="shared" si="5"/>
        <v>Nov</v>
      </c>
      <c r="I156" s="1" t="s">
        <v>209</v>
      </c>
      <c r="J156" s="1" t="s">
        <v>217</v>
      </c>
      <c r="K156" s="1" t="s">
        <v>374</v>
      </c>
      <c r="L156" s="1" t="s">
        <v>423</v>
      </c>
      <c r="M156" s="1" t="s">
        <v>431</v>
      </c>
      <c r="N156" s="1">
        <v>2</v>
      </c>
      <c r="O156" s="1">
        <v>475</v>
      </c>
      <c r="P156" s="1" t="s">
        <v>592</v>
      </c>
      <c r="Q156" s="1" t="s">
        <v>651</v>
      </c>
      <c r="R156" s="1">
        <v>260005</v>
      </c>
      <c r="S156" s="1" t="b">
        <v>1</v>
      </c>
    </row>
    <row r="157" spans="1:19" x14ac:dyDescent="0.3">
      <c r="A157" s="1">
        <v>156</v>
      </c>
      <c r="B157" s="1" t="s">
        <v>157</v>
      </c>
      <c r="C157" s="1">
        <v>3849212</v>
      </c>
      <c r="D157" s="1" t="s">
        <v>204</v>
      </c>
      <c r="E157" s="1">
        <v>39</v>
      </c>
      <c r="F157" s="1" t="str">
        <f t="shared" si="4"/>
        <v>Adult</v>
      </c>
      <c r="G157" s="2">
        <v>44884</v>
      </c>
      <c r="H157" s="2" t="str">
        <f t="shared" si="5"/>
        <v>Nov</v>
      </c>
      <c r="I157" s="1" t="s">
        <v>209</v>
      </c>
      <c r="J157" s="1" t="s">
        <v>213</v>
      </c>
      <c r="K157" s="1" t="s">
        <v>375</v>
      </c>
      <c r="L157" s="1" t="s">
        <v>424</v>
      </c>
      <c r="M157" s="1" t="s">
        <v>432</v>
      </c>
      <c r="N157" s="1">
        <v>3</v>
      </c>
      <c r="O157" s="1">
        <v>1600</v>
      </c>
      <c r="P157" s="1" t="s">
        <v>548</v>
      </c>
      <c r="Q157" s="1" t="s">
        <v>652</v>
      </c>
      <c r="R157" s="1">
        <v>260006</v>
      </c>
      <c r="S157" s="1" t="b">
        <v>0</v>
      </c>
    </row>
    <row r="158" spans="1:19" x14ac:dyDescent="0.3">
      <c r="A158" s="1">
        <v>157</v>
      </c>
      <c r="B158" s="1" t="s">
        <v>158</v>
      </c>
      <c r="C158" s="1">
        <v>7293846</v>
      </c>
      <c r="D158" s="1" t="s">
        <v>204</v>
      </c>
      <c r="E158" s="1">
        <v>27</v>
      </c>
      <c r="F158" s="1" t="str">
        <f t="shared" si="4"/>
        <v>Teenager</v>
      </c>
      <c r="G158" s="2">
        <v>44884</v>
      </c>
      <c r="H158" s="2" t="str">
        <f t="shared" si="5"/>
        <v>Nov</v>
      </c>
      <c r="I158" s="1" t="s">
        <v>209</v>
      </c>
      <c r="J158" s="1" t="s">
        <v>218</v>
      </c>
      <c r="K158" s="1" t="s">
        <v>376</v>
      </c>
      <c r="L158" s="1" t="s">
        <v>425</v>
      </c>
      <c r="M158" s="1" t="s">
        <v>433</v>
      </c>
      <c r="N158" s="1">
        <v>4</v>
      </c>
      <c r="O158" s="1">
        <v>3300</v>
      </c>
      <c r="P158" s="1" t="s">
        <v>593</v>
      </c>
      <c r="Q158" s="1" t="s">
        <v>653</v>
      </c>
      <c r="R158" s="1">
        <v>260007</v>
      </c>
      <c r="S158" s="1" t="b">
        <v>1</v>
      </c>
    </row>
    <row r="159" spans="1:19" x14ac:dyDescent="0.3">
      <c r="A159" s="1">
        <v>158</v>
      </c>
      <c r="B159" s="1" t="s">
        <v>159</v>
      </c>
      <c r="C159" s="1">
        <v>5029391</v>
      </c>
      <c r="D159" s="1" t="s">
        <v>204</v>
      </c>
      <c r="E159" s="1">
        <v>42</v>
      </c>
      <c r="F159" s="1" t="str">
        <f t="shared" si="4"/>
        <v>Adult</v>
      </c>
      <c r="G159" s="2">
        <v>44884</v>
      </c>
      <c r="H159" s="2" t="str">
        <f t="shared" si="5"/>
        <v>Nov</v>
      </c>
      <c r="I159" s="1" t="s">
        <v>210</v>
      </c>
      <c r="J159" s="1" t="s">
        <v>214</v>
      </c>
      <c r="K159" s="1" t="s">
        <v>377</v>
      </c>
      <c r="L159" s="1" t="s">
        <v>426</v>
      </c>
      <c r="M159" s="1" t="s">
        <v>434</v>
      </c>
      <c r="N159" s="1">
        <v>5</v>
      </c>
      <c r="O159" s="1">
        <v>520</v>
      </c>
      <c r="P159" s="1" t="s">
        <v>594</v>
      </c>
      <c r="Q159" s="1" t="s">
        <v>654</v>
      </c>
      <c r="R159" s="1">
        <v>260008</v>
      </c>
      <c r="S159" s="1" t="b">
        <v>0</v>
      </c>
    </row>
    <row r="160" spans="1:19" x14ac:dyDescent="0.3">
      <c r="A160" s="1">
        <v>159</v>
      </c>
      <c r="B160" s="1" t="s">
        <v>160</v>
      </c>
      <c r="C160" s="1">
        <v>8392046</v>
      </c>
      <c r="D160" s="1" t="s">
        <v>205</v>
      </c>
      <c r="E160" s="1">
        <v>30</v>
      </c>
      <c r="F160" s="1" t="str">
        <f t="shared" si="4"/>
        <v>Adult</v>
      </c>
      <c r="G160" s="2">
        <v>44884</v>
      </c>
      <c r="H160" s="2" t="str">
        <f t="shared" si="5"/>
        <v>Nov</v>
      </c>
      <c r="I160" s="1" t="s">
        <v>209</v>
      </c>
      <c r="J160" s="1" t="s">
        <v>215</v>
      </c>
      <c r="K160" s="1" t="s">
        <v>378</v>
      </c>
      <c r="L160" s="1" t="s">
        <v>427</v>
      </c>
      <c r="M160" s="1" t="s">
        <v>435</v>
      </c>
      <c r="N160" s="1">
        <v>1</v>
      </c>
      <c r="O160" s="1">
        <v>1500</v>
      </c>
      <c r="P160" s="1" t="s">
        <v>595</v>
      </c>
      <c r="Q160" s="1" t="s">
        <v>655</v>
      </c>
      <c r="R160" s="1">
        <v>260009</v>
      </c>
      <c r="S160" s="1" t="b">
        <v>1</v>
      </c>
    </row>
    <row r="161" spans="1:19" x14ac:dyDescent="0.3">
      <c r="A161" s="1">
        <v>160</v>
      </c>
      <c r="B161" s="1" t="s">
        <v>161</v>
      </c>
      <c r="C161" s="1">
        <v>1749213</v>
      </c>
      <c r="D161" s="1" t="s">
        <v>204</v>
      </c>
      <c r="E161" s="1">
        <v>36</v>
      </c>
      <c r="F161" s="1" t="str">
        <f t="shared" si="4"/>
        <v>Adult</v>
      </c>
      <c r="G161" s="2">
        <v>44884</v>
      </c>
      <c r="H161" s="2" t="str">
        <f t="shared" si="5"/>
        <v>Nov</v>
      </c>
      <c r="I161" s="1" t="s">
        <v>209</v>
      </c>
      <c r="J161" s="1" t="s">
        <v>213</v>
      </c>
      <c r="K161" s="1" t="s">
        <v>379</v>
      </c>
      <c r="L161" s="1" t="s">
        <v>428</v>
      </c>
      <c r="M161" s="1" t="s">
        <v>436</v>
      </c>
      <c r="N161" s="1">
        <v>2</v>
      </c>
      <c r="O161" s="1">
        <v>3050</v>
      </c>
      <c r="P161" s="1" t="s">
        <v>596</v>
      </c>
      <c r="Q161" s="1" t="s">
        <v>656</v>
      </c>
      <c r="R161" s="1">
        <v>260010</v>
      </c>
      <c r="S161" s="1" t="b">
        <v>0</v>
      </c>
    </row>
    <row r="162" spans="1:19" x14ac:dyDescent="0.3">
      <c r="A162" s="1">
        <v>161</v>
      </c>
      <c r="B162" s="1" t="s">
        <v>162</v>
      </c>
      <c r="C162" s="1">
        <v>5839209</v>
      </c>
      <c r="D162" s="1" t="s">
        <v>204</v>
      </c>
      <c r="E162" s="1">
        <v>34</v>
      </c>
      <c r="F162" s="1" t="str">
        <f t="shared" si="4"/>
        <v>Adult</v>
      </c>
      <c r="G162" s="2">
        <v>44884</v>
      </c>
      <c r="H162" s="2" t="str">
        <f t="shared" si="5"/>
        <v>Nov</v>
      </c>
      <c r="I162" s="1" t="s">
        <v>209</v>
      </c>
      <c r="J162" s="1" t="s">
        <v>216</v>
      </c>
      <c r="K162" s="1" t="s">
        <v>380</v>
      </c>
      <c r="L162" s="1" t="s">
        <v>421</v>
      </c>
      <c r="M162" s="1" t="s">
        <v>437</v>
      </c>
      <c r="N162" s="1">
        <v>3</v>
      </c>
      <c r="O162" s="1">
        <v>399</v>
      </c>
      <c r="P162" s="1" t="s">
        <v>597</v>
      </c>
      <c r="Q162" s="1" t="s">
        <v>638</v>
      </c>
      <c r="R162" s="1">
        <v>270001</v>
      </c>
      <c r="S162" s="1" t="b">
        <v>1</v>
      </c>
    </row>
    <row r="163" spans="1:19" x14ac:dyDescent="0.3">
      <c r="A163" s="1">
        <v>162</v>
      </c>
      <c r="B163" s="1" t="s">
        <v>176</v>
      </c>
      <c r="C163" s="1">
        <v>4938578</v>
      </c>
      <c r="D163" s="1" t="s">
        <v>204</v>
      </c>
      <c r="E163" s="1">
        <v>41</v>
      </c>
      <c r="F163" s="1" t="str">
        <f t="shared" si="4"/>
        <v>Adult</v>
      </c>
      <c r="G163" s="2">
        <v>44883</v>
      </c>
      <c r="H163" s="2" t="str">
        <f t="shared" si="5"/>
        <v>Nov</v>
      </c>
      <c r="I163" s="1" t="s">
        <v>209</v>
      </c>
      <c r="J163" s="1" t="s">
        <v>217</v>
      </c>
      <c r="K163" s="1" t="s">
        <v>381</v>
      </c>
      <c r="L163" s="1" t="s">
        <v>422</v>
      </c>
      <c r="M163" s="1" t="s">
        <v>438</v>
      </c>
      <c r="N163" s="1">
        <v>4</v>
      </c>
      <c r="O163" s="1">
        <v>1700</v>
      </c>
      <c r="P163" s="1" t="s">
        <v>598</v>
      </c>
      <c r="Q163" s="1" t="s">
        <v>441</v>
      </c>
      <c r="R163" s="1">
        <v>270002</v>
      </c>
      <c r="S163" s="1" t="b">
        <v>0</v>
      </c>
    </row>
    <row r="164" spans="1:19" x14ac:dyDescent="0.3">
      <c r="A164" s="1">
        <v>163</v>
      </c>
      <c r="B164" s="1" t="s">
        <v>175</v>
      </c>
      <c r="C164" s="1">
        <v>3029487</v>
      </c>
      <c r="D164" s="1" t="s">
        <v>204</v>
      </c>
      <c r="E164" s="1">
        <v>25</v>
      </c>
      <c r="F164" s="1" t="str">
        <f t="shared" si="4"/>
        <v>Teenager</v>
      </c>
      <c r="G164" s="2">
        <v>44883</v>
      </c>
      <c r="H164" s="2" t="str">
        <f t="shared" si="5"/>
        <v>Nov</v>
      </c>
      <c r="I164" s="1" t="s">
        <v>211</v>
      </c>
      <c r="J164" s="1" t="s">
        <v>218</v>
      </c>
      <c r="K164" s="1" t="s">
        <v>382</v>
      </c>
      <c r="L164" s="1" t="s">
        <v>423</v>
      </c>
      <c r="M164" s="1" t="s">
        <v>430</v>
      </c>
      <c r="N164" s="1">
        <v>5</v>
      </c>
      <c r="O164" s="1">
        <v>3200</v>
      </c>
      <c r="P164" s="1" t="s">
        <v>599</v>
      </c>
      <c r="Q164" s="1" t="s">
        <v>639</v>
      </c>
      <c r="R164" s="1">
        <v>270003</v>
      </c>
      <c r="S164" s="1" t="b">
        <v>1</v>
      </c>
    </row>
    <row r="165" spans="1:19" x14ac:dyDescent="0.3">
      <c r="A165" s="1">
        <v>164</v>
      </c>
      <c r="B165" s="1" t="s">
        <v>174</v>
      </c>
      <c r="C165" s="1">
        <v>7193847</v>
      </c>
      <c r="D165" s="1" t="s">
        <v>205</v>
      </c>
      <c r="E165" s="1">
        <v>38</v>
      </c>
      <c r="F165" s="1" t="str">
        <f t="shared" si="4"/>
        <v>Adult</v>
      </c>
      <c r="G165" s="2">
        <v>44883</v>
      </c>
      <c r="H165" s="2" t="str">
        <f t="shared" si="5"/>
        <v>Nov</v>
      </c>
      <c r="I165" s="1" t="s">
        <v>209</v>
      </c>
      <c r="J165" s="1" t="s">
        <v>213</v>
      </c>
      <c r="K165" s="1" t="s">
        <v>383</v>
      </c>
      <c r="L165" s="1" t="s">
        <v>424</v>
      </c>
      <c r="M165" s="1" t="s">
        <v>431</v>
      </c>
      <c r="N165" s="1">
        <v>1</v>
      </c>
      <c r="O165" s="1">
        <v>495</v>
      </c>
      <c r="P165" s="1" t="s">
        <v>600</v>
      </c>
      <c r="Q165" s="1" t="s">
        <v>640</v>
      </c>
      <c r="R165" s="1">
        <v>270004</v>
      </c>
      <c r="S165" s="1" t="b">
        <v>0</v>
      </c>
    </row>
    <row r="166" spans="1:19" x14ac:dyDescent="0.3">
      <c r="A166" s="1">
        <v>165</v>
      </c>
      <c r="B166" s="1" t="s">
        <v>173</v>
      </c>
      <c r="C166" s="1">
        <v>4839212</v>
      </c>
      <c r="D166" s="1" t="s">
        <v>204</v>
      </c>
      <c r="E166" s="1">
        <v>29</v>
      </c>
      <c r="F166" s="1" t="str">
        <f t="shared" si="4"/>
        <v>Teenager</v>
      </c>
      <c r="G166" s="2">
        <v>44883</v>
      </c>
      <c r="H166" s="2" t="str">
        <f t="shared" si="5"/>
        <v>Nov</v>
      </c>
      <c r="I166" s="1" t="s">
        <v>209</v>
      </c>
      <c r="J166" s="1" t="s">
        <v>214</v>
      </c>
      <c r="K166" s="1" t="s">
        <v>384</v>
      </c>
      <c r="L166" s="1" t="s">
        <v>425</v>
      </c>
      <c r="M166" s="1" t="s">
        <v>432</v>
      </c>
      <c r="N166" s="1">
        <v>2</v>
      </c>
      <c r="O166" s="1">
        <v>1650</v>
      </c>
      <c r="P166" s="1" t="s">
        <v>601</v>
      </c>
      <c r="Q166" s="1" t="s">
        <v>641</v>
      </c>
      <c r="R166" s="1">
        <v>270005</v>
      </c>
      <c r="S166" s="1" t="b">
        <v>1</v>
      </c>
    </row>
    <row r="167" spans="1:19" x14ac:dyDescent="0.3">
      <c r="A167" s="1">
        <v>166</v>
      </c>
      <c r="B167" s="1" t="s">
        <v>163</v>
      </c>
      <c r="C167" s="1">
        <v>5942036</v>
      </c>
      <c r="D167" s="1" t="s">
        <v>204</v>
      </c>
      <c r="E167" s="1">
        <v>44</v>
      </c>
      <c r="F167" s="1" t="str">
        <f t="shared" si="4"/>
        <v>Adult</v>
      </c>
      <c r="G167" s="2">
        <v>44883</v>
      </c>
      <c r="H167" s="2" t="str">
        <f t="shared" si="5"/>
        <v>Nov</v>
      </c>
      <c r="I167" s="1" t="s">
        <v>209</v>
      </c>
      <c r="J167" s="1" t="s">
        <v>215</v>
      </c>
      <c r="K167" s="1" t="s">
        <v>385</v>
      </c>
      <c r="L167" s="1" t="s">
        <v>426</v>
      </c>
      <c r="M167" s="1" t="s">
        <v>433</v>
      </c>
      <c r="N167" s="1">
        <v>3</v>
      </c>
      <c r="O167" s="1">
        <v>3100</v>
      </c>
      <c r="P167" s="1" t="s">
        <v>602</v>
      </c>
      <c r="Q167" s="1" t="s">
        <v>642</v>
      </c>
      <c r="R167" s="1">
        <v>270006</v>
      </c>
      <c r="S167" s="1" t="b">
        <v>0</v>
      </c>
    </row>
    <row r="168" spans="1:19" x14ac:dyDescent="0.3">
      <c r="A168" s="1">
        <v>167</v>
      </c>
      <c r="B168" s="1" t="s">
        <v>164</v>
      </c>
      <c r="C168" s="1">
        <v>3849213</v>
      </c>
      <c r="D168" s="1" t="s">
        <v>205</v>
      </c>
      <c r="E168" s="1">
        <v>32</v>
      </c>
      <c r="F168" s="1" t="str">
        <f t="shared" si="4"/>
        <v>Adult</v>
      </c>
      <c r="G168" s="2">
        <v>44883</v>
      </c>
      <c r="H168" s="2" t="str">
        <f t="shared" si="5"/>
        <v>Nov</v>
      </c>
      <c r="I168" s="1" t="s">
        <v>209</v>
      </c>
      <c r="J168" s="1" t="s">
        <v>216</v>
      </c>
      <c r="K168" s="1" t="s">
        <v>386</v>
      </c>
      <c r="L168" s="1" t="s">
        <v>427</v>
      </c>
      <c r="M168" s="1" t="s">
        <v>434</v>
      </c>
      <c r="N168" s="1">
        <v>4</v>
      </c>
      <c r="O168" s="1">
        <v>410</v>
      </c>
      <c r="P168" s="1" t="s">
        <v>603</v>
      </c>
      <c r="Q168" s="1" t="s">
        <v>643</v>
      </c>
      <c r="R168" s="1">
        <v>270007</v>
      </c>
      <c r="S168" s="1" t="b">
        <v>1</v>
      </c>
    </row>
    <row r="169" spans="1:19" x14ac:dyDescent="0.3">
      <c r="A169" s="1">
        <v>168</v>
      </c>
      <c r="B169" s="1" t="s">
        <v>165</v>
      </c>
      <c r="C169" s="1">
        <v>7293847</v>
      </c>
      <c r="D169" s="1" t="s">
        <v>204</v>
      </c>
      <c r="E169" s="1">
        <v>37</v>
      </c>
      <c r="F169" s="1" t="str">
        <f t="shared" si="4"/>
        <v>Adult</v>
      </c>
      <c r="G169" s="2">
        <v>44883</v>
      </c>
      <c r="H169" s="2" t="str">
        <f t="shared" si="5"/>
        <v>Nov</v>
      </c>
      <c r="I169" s="1" t="s">
        <v>210</v>
      </c>
      <c r="J169" s="1" t="s">
        <v>217</v>
      </c>
      <c r="K169" s="1" t="s">
        <v>387</v>
      </c>
      <c r="L169" s="1" t="s">
        <v>428</v>
      </c>
      <c r="M169" s="1" t="s">
        <v>435</v>
      </c>
      <c r="N169" s="1">
        <v>5</v>
      </c>
      <c r="O169" s="1">
        <v>1800</v>
      </c>
      <c r="P169" s="1" t="s">
        <v>604</v>
      </c>
      <c r="Q169" s="1" t="s">
        <v>644</v>
      </c>
      <c r="R169" s="1">
        <v>270008</v>
      </c>
      <c r="S169" s="1" t="b">
        <v>0</v>
      </c>
    </row>
    <row r="170" spans="1:19" x14ac:dyDescent="0.3">
      <c r="A170" s="1">
        <v>169</v>
      </c>
      <c r="B170" s="1" t="s">
        <v>166</v>
      </c>
      <c r="C170" s="1">
        <v>5029392</v>
      </c>
      <c r="D170" s="1" t="s">
        <v>204</v>
      </c>
      <c r="E170" s="1">
        <v>28</v>
      </c>
      <c r="F170" s="1" t="str">
        <f t="shared" si="4"/>
        <v>Teenager</v>
      </c>
      <c r="G170" s="2">
        <v>44883</v>
      </c>
      <c r="H170" s="2" t="str">
        <f t="shared" si="5"/>
        <v>Nov</v>
      </c>
      <c r="I170" s="1" t="s">
        <v>209</v>
      </c>
      <c r="J170" s="1" t="s">
        <v>213</v>
      </c>
      <c r="K170" s="1" t="s">
        <v>388</v>
      </c>
      <c r="L170" s="1" t="s">
        <v>421</v>
      </c>
      <c r="M170" s="1" t="s">
        <v>436</v>
      </c>
      <c r="N170" s="1">
        <v>1</v>
      </c>
      <c r="O170" s="1">
        <v>2850</v>
      </c>
      <c r="P170" s="1" t="s">
        <v>605</v>
      </c>
      <c r="Q170" s="1" t="s">
        <v>645</v>
      </c>
      <c r="R170" s="1">
        <v>270009</v>
      </c>
      <c r="S170" s="1" t="b">
        <v>1</v>
      </c>
    </row>
    <row r="171" spans="1:19" x14ac:dyDescent="0.3">
      <c r="A171" s="1">
        <v>170</v>
      </c>
      <c r="B171" s="1" t="s">
        <v>167</v>
      </c>
      <c r="C171" s="1">
        <v>8392047</v>
      </c>
      <c r="D171" s="1" t="s">
        <v>204</v>
      </c>
      <c r="E171" s="1">
        <v>40</v>
      </c>
      <c r="F171" s="1" t="str">
        <f t="shared" si="4"/>
        <v>Adult</v>
      </c>
      <c r="G171" s="2">
        <v>44883</v>
      </c>
      <c r="H171" s="2" t="str">
        <f t="shared" si="5"/>
        <v>Nov</v>
      </c>
      <c r="I171" s="1" t="s">
        <v>209</v>
      </c>
      <c r="J171" s="1" t="s">
        <v>218</v>
      </c>
      <c r="K171" s="1" t="s">
        <v>389</v>
      </c>
      <c r="L171" s="1" t="s">
        <v>422</v>
      </c>
      <c r="M171" s="1" t="s">
        <v>437</v>
      </c>
      <c r="N171" s="1">
        <v>2</v>
      </c>
      <c r="O171" s="1">
        <v>425</v>
      </c>
      <c r="P171" s="1" t="s">
        <v>606</v>
      </c>
      <c r="Q171" s="1" t="s">
        <v>646</v>
      </c>
      <c r="R171" s="1">
        <v>270010</v>
      </c>
      <c r="S171" s="1" t="b">
        <v>0</v>
      </c>
    </row>
    <row r="172" spans="1:19" x14ac:dyDescent="0.3">
      <c r="A172" s="1">
        <v>171</v>
      </c>
      <c r="B172" s="1" t="s">
        <v>168</v>
      </c>
      <c r="C172" s="1">
        <v>1749214</v>
      </c>
      <c r="D172" s="1" t="s">
        <v>205</v>
      </c>
      <c r="E172" s="1">
        <v>26</v>
      </c>
      <c r="F172" s="1" t="str">
        <f t="shared" si="4"/>
        <v>Teenager</v>
      </c>
      <c r="G172" s="2">
        <v>44883</v>
      </c>
      <c r="H172" s="2" t="str">
        <f t="shared" si="5"/>
        <v>Nov</v>
      </c>
      <c r="I172" s="1" t="s">
        <v>209</v>
      </c>
      <c r="J172" s="1" t="s">
        <v>214</v>
      </c>
      <c r="K172" s="1" t="s">
        <v>390</v>
      </c>
      <c r="L172" s="1" t="s">
        <v>423</v>
      </c>
      <c r="M172" s="1" t="s">
        <v>438</v>
      </c>
      <c r="N172" s="1">
        <v>3</v>
      </c>
      <c r="O172" s="1">
        <v>1550</v>
      </c>
      <c r="P172" s="1" t="s">
        <v>607</v>
      </c>
      <c r="Q172" s="1" t="s">
        <v>647</v>
      </c>
      <c r="R172" s="1">
        <v>280001</v>
      </c>
      <c r="S172" s="1" t="b">
        <v>1</v>
      </c>
    </row>
    <row r="173" spans="1:19" x14ac:dyDescent="0.3">
      <c r="A173" s="1">
        <v>172</v>
      </c>
      <c r="B173" s="1" t="s">
        <v>169</v>
      </c>
      <c r="C173" s="1">
        <v>5839210</v>
      </c>
      <c r="D173" s="1" t="s">
        <v>204</v>
      </c>
      <c r="E173" s="1">
        <v>35</v>
      </c>
      <c r="F173" s="1" t="str">
        <f t="shared" si="4"/>
        <v>Adult</v>
      </c>
      <c r="G173" s="2">
        <v>44912</v>
      </c>
      <c r="H173" s="2" t="str">
        <f t="shared" si="5"/>
        <v>Dec</v>
      </c>
      <c r="I173" s="1" t="s">
        <v>209</v>
      </c>
      <c r="J173" s="1" t="s">
        <v>215</v>
      </c>
      <c r="K173" s="1" t="s">
        <v>391</v>
      </c>
      <c r="L173" s="1" t="s">
        <v>424</v>
      </c>
      <c r="M173" s="1" t="s">
        <v>430</v>
      </c>
      <c r="N173" s="1">
        <v>4</v>
      </c>
      <c r="O173" s="1">
        <v>3400</v>
      </c>
      <c r="P173" s="1" t="s">
        <v>608</v>
      </c>
      <c r="Q173" s="1" t="s">
        <v>648</v>
      </c>
      <c r="R173" s="1">
        <v>280002</v>
      </c>
      <c r="S173" s="1" t="b">
        <v>0</v>
      </c>
    </row>
    <row r="174" spans="1:19" x14ac:dyDescent="0.3">
      <c r="A174" s="1">
        <v>173</v>
      </c>
      <c r="B174" s="1" t="s">
        <v>170</v>
      </c>
      <c r="C174" s="1">
        <v>4938579</v>
      </c>
      <c r="D174" s="1" t="s">
        <v>204</v>
      </c>
      <c r="E174" s="1">
        <v>33</v>
      </c>
      <c r="F174" s="1" t="str">
        <f t="shared" si="4"/>
        <v>Adult</v>
      </c>
      <c r="G174" s="2">
        <v>44913</v>
      </c>
      <c r="H174" s="2" t="str">
        <f t="shared" si="5"/>
        <v>Dec</v>
      </c>
      <c r="I174" s="1" t="s">
        <v>211</v>
      </c>
      <c r="J174" s="1" t="s">
        <v>213</v>
      </c>
      <c r="K174" s="1" t="s">
        <v>392</v>
      </c>
      <c r="L174" s="1" t="s">
        <v>425</v>
      </c>
      <c r="M174" s="1" t="s">
        <v>431</v>
      </c>
      <c r="N174" s="1">
        <v>5</v>
      </c>
      <c r="O174" s="1">
        <v>520</v>
      </c>
      <c r="P174" s="1" t="s">
        <v>609</v>
      </c>
      <c r="Q174" s="1" t="s">
        <v>649</v>
      </c>
      <c r="R174" s="1">
        <v>280003</v>
      </c>
      <c r="S174" s="1" t="b">
        <v>1</v>
      </c>
    </row>
    <row r="175" spans="1:19" x14ac:dyDescent="0.3">
      <c r="A175" s="1">
        <v>174</v>
      </c>
      <c r="B175" s="1" t="s">
        <v>171</v>
      </c>
      <c r="C175" s="1">
        <v>3029488</v>
      </c>
      <c r="D175" s="1" t="s">
        <v>204</v>
      </c>
      <c r="E175" s="1">
        <v>39</v>
      </c>
      <c r="F175" s="1" t="str">
        <f t="shared" si="4"/>
        <v>Adult</v>
      </c>
      <c r="G175" s="2">
        <v>44914</v>
      </c>
      <c r="H175" s="2" t="str">
        <f t="shared" si="5"/>
        <v>Dec</v>
      </c>
      <c r="I175" s="1" t="s">
        <v>209</v>
      </c>
      <c r="J175" s="1" t="s">
        <v>216</v>
      </c>
      <c r="K175" s="1" t="s">
        <v>393</v>
      </c>
      <c r="L175" s="1" t="s">
        <v>426</v>
      </c>
      <c r="M175" s="1" t="s">
        <v>432</v>
      </c>
      <c r="N175" s="1">
        <v>1</v>
      </c>
      <c r="O175" s="1">
        <v>1750</v>
      </c>
      <c r="P175" s="1" t="s">
        <v>610</v>
      </c>
      <c r="Q175" s="1" t="s">
        <v>650</v>
      </c>
      <c r="R175" s="1">
        <v>280004</v>
      </c>
      <c r="S175" s="1" t="b">
        <v>0</v>
      </c>
    </row>
    <row r="176" spans="1:19" x14ac:dyDescent="0.3">
      <c r="A176" s="1">
        <v>175</v>
      </c>
      <c r="B176" s="1" t="s">
        <v>172</v>
      </c>
      <c r="C176" s="1">
        <v>7193848</v>
      </c>
      <c r="D176" s="1" t="s">
        <v>205</v>
      </c>
      <c r="E176" s="1">
        <v>27</v>
      </c>
      <c r="F176" s="1" t="str">
        <f t="shared" si="4"/>
        <v>Teenager</v>
      </c>
      <c r="G176" s="2">
        <v>44915</v>
      </c>
      <c r="H176" s="2" t="str">
        <f t="shared" si="5"/>
        <v>Dec</v>
      </c>
      <c r="I176" s="1" t="s">
        <v>209</v>
      </c>
      <c r="J176" s="1" t="s">
        <v>217</v>
      </c>
      <c r="K176" s="1" t="s">
        <v>394</v>
      </c>
      <c r="L176" s="1" t="s">
        <v>427</v>
      </c>
      <c r="M176" s="1" t="s">
        <v>433</v>
      </c>
      <c r="N176" s="1">
        <v>2</v>
      </c>
      <c r="O176" s="1">
        <v>3000</v>
      </c>
      <c r="P176" s="1" t="s">
        <v>611</v>
      </c>
      <c r="Q176" s="1" t="s">
        <v>651</v>
      </c>
      <c r="R176" s="1">
        <v>280005</v>
      </c>
      <c r="S176" s="1" t="b">
        <v>1</v>
      </c>
    </row>
    <row r="177" spans="1:19" x14ac:dyDescent="0.3">
      <c r="A177" s="1">
        <v>176</v>
      </c>
      <c r="B177" s="1" t="s">
        <v>177</v>
      </c>
      <c r="C177" s="1">
        <v>4839213</v>
      </c>
      <c r="D177" s="1" t="s">
        <v>204</v>
      </c>
      <c r="E177" s="1">
        <v>42</v>
      </c>
      <c r="F177" s="1" t="str">
        <f t="shared" si="4"/>
        <v>Adult</v>
      </c>
      <c r="G177" s="2">
        <v>44916</v>
      </c>
      <c r="H177" s="2" t="str">
        <f t="shared" si="5"/>
        <v>Dec</v>
      </c>
      <c r="I177" s="1" t="s">
        <v>209</v>
      </c>
      <c r="J177" s="1" t="s">
        <v>218</v>
      </c>
      <c r="K177" s="1" t="s">
        <v>395</v>
      </c>
      <c r="L177" s="1" t="s">
        <v>428</v>
      </c>
      <c r="M177" s="1" t="s">
        <v>434</v>
      </c>
      <c r="N177" s="1">
        <v>3</v>
      </c>
      <c r="O177" s="1">
        <v>399</v>
      </c>
      <c r="P177" s="1" t="s">
        <v>612</v>
      </c>
      <c r="Q177" s="1" t="s">
        <v>652</v>
      </c>
      <c r="R177" s="1">
        <v>280006</v>
      </c>
      <c r="S177" s="1" t="b">
        <v>0</v>
      </c>
    </row>
    <row r="178" spans="1:19" x14ac:dyDescent="0.3">
      <c r="A178" s="1">
        <v>177</v>
      </c>
      <c r="B178" s="1" t="s">
        <v>178</v>
      </c>
      <c r="C178" s="1">
        <v>5942037</v>
      </c>
      <c r="D178" s="1" t="s">
        <v>204</v>
      </c>
      <c r="E178" s="1">
        <v>30</v>
      </c>
      <c r="F178" s="1" t="str">
        <f t="shared" si="4"/>
        <v>Adult</v>
      </c>
      <c r="G178" s="2">
        <v>44917</v>
      </c>
      <c r="H178" s="2" t="str">
        <f t="shared" si="5"/>
        <v>Dec</v>
      </c>
      <c r="I178" s="1" t="s">
        <v>209</v>
      </c>
      <c r="J178" s="1" t="s">
        <v>213</v>
      </c>
      <c r="K178" s="1" t="s">
        <v>396</v>
      </c>
      <c r="L178" s="1" t="s">
        <v>421</v>
      </c>
      <c r="M178" s="1" t="s">
        <v>435</v>
      </c>
      <c r="N178" s="1">
        <v>4</v>
      </c>
      <c r="O178" s="1">
        <v>1850</v>
      </c>
      <c r="P178" s="1" t="s">
        <v>613</v>
      </c>
      <c r="Q178" s="1" t="s">
        <v>653</v>
      </c>
      <c r="R178" s="1">
        <v>280007</v>
      </c>
      <c r="S178" s="1" t="b">
        <v>1</v>
      </c>
    </row>
    <row r="179" spans="1:19" x14ac:dyDescent="0.3">
      <c r="A179" s="1">
        <v>178</v>
      </c>
      <c r="B179" s="1" t="s">
        <v>179</v>
      </c>
      <c r="C179" s="1">
        <v>3849214</v>
      </c>
      <c r="D179" s="1" t="s">
        <v>204</v>
      </c>
      <c r="E179" s="1">
        <v>36</v>
      </c>
      <c r="F179" s="1" t="str">
        <f t="shared" si="4"/>
        <v>Adult</v>
      </c>
      <c r="G179" s="2">
        <v>44918</v>
      </c>
      <c r="H179" s="2" t="str">
        <f t="shared" si="5"/>
        <v>Dec</v>
      </c>
      <c r="I179" s="1" t="s">
        <v>210</v>
      </c>
      <c r="J179" s="1" t="s">
        <v>214</v>
      </c>
      <c r="K179" s="1" t="s">
        <v>397</v>
      </c>
      <c r="L179" s="1" t="s">
        <v>422</v>
      </c>
      <c r="M179" s="1" t="s">
        <v>436</v>
      </c>
      <c r="N179" s="1">
        <v>5</v>
      </c>
      <c r="O179" s="1">
        <v>2950</v>
      </c>
      <c r="P179" s="1" t="s">
        <v>614</v>
      </c>
      <c r="Q179" s="1" t="s">
        <v>654</v>
      </c>
      <c r="R179" s="1">
        <v>280008</v>
      </c>
      <c r="S179" s="1" t="b">
        <v>0</v>
      </c>
    </row>
    <row r="180" spans="1:19" x14ac:dyDescent="0.3">
      <c r="A180" s="1">
        <v>179</v>
      </c>
      <c r="B180" s="1" t="s">
        <v>180</v>
      </c>
      <c r="C180" s="1">
        <v>7293848</v>
      </c>
      <c r="D180" s="1" t="s">
        <v>205</v>
      </c>
      <c r="E180" s="1">
        <v>34</v>
      </c>
      <c r="F180" s="1" t="str">
        <f t="shared" si="4"/>
        <v>Adult</v>
      </c>
      <c r="G180" s="2">
        <v>44919</v>
      </c>
      <c r="H180" s="2" t="str">
        <f t="shared" si="5"/>
        <v>Dec</v>
      </c>
      <c r="I180" s="1" t="s">
        <v>209</v>
      </c>
      <c r="J180" s="1" t="s">
        <v>215</v>
      </c>
      <c r="K180" s="1" t="s">
        <v>398</v>
      </c>
      <c r="L180" s="1" t="s">
        <v>423</v>
      </c>
      <c r="M180" s="1" t="s">
        <v>437</v>
      </c>
      <c r="N180" s="1">
        <v>1</v>
      </c>
      <c r="O180" s="1">
        <v>475</v>
      </c>
      <c r="P180" s="1" t="s">
        <v>615</v>
      </c>
      <c r="Q180" s="1" t="s">
        <v>655</v>
      </c>
      <c r="R180" s="1">
        <v>280009</v>
      </c>
      <c r="S180" s="1" t="b">
        <v>1</v>
      </c>
    </row>
    <row r="181" spans="1:19" x14ac:dyDescent="0.3">
      <c r="A181" s="1">
        <v>180</v>
      </c>
      <c r="B181" s="1" t="s">
        <v>181</v>
      </c>
      <c r="C181" s="1">
        <v>5029393</v>
      </c>
      <c r="D181" s="1" t="s">
        <v>204</v>
      </c>
      <c r="E181" s="1">
        <v>41</v>
      </c>
      <c r="F181" s="1" t="str">
        <f t="shared" si="4"/>
        <v>Adult</v>
      </c>
      <c r="G181" s="2">
        <v>44920</v>
      </c>
      <c r="H181" s="2" t="str">
        <f t="shared" si="5"/>
        <v>Dec</v>
      </c>
      <c r="I181" s="1" t="s">
        <v>209</v>
      </c>
      <c r="J181" s="1" t="s">
        <v>216</v>
      </c>
      <c r="K181" s="1" t="s">
        <v>399</v>
      </c>
      <c r="L181" s="1" t="s">
        <v>424</v>
      </c>
      <c r="M181" s="1" t="s">
        <v>438</v>
      </c>
      <c r="N181" s="1">
        <v>2</v>
      </c>
      <c r="O181" s="1">
        <v>1600</v>
      </c>
      <c r="P181" s="1" t="s">
        <v>616</v>
      </c>
      <c r="Q181" s="1" t="s">
        <v>656</v>
      </c>
      <c r="R181" s="1">
        <v>280010</v>
      </c>
      <c r="S181" s="1" t="b">
        <v>0</v>
      </c>
    </row>
    <row r="182" spans="1:19" x14ac:dyDescent="0.3">
      <c r="A182" s="1">
        <v>181</v>
      </c>
      <c r="B182" s="1" t="s">
        <v>182</v>
      </c>
      <c r="C182" s="1">
        <v>8392048</v>
      </c>
      <c r="D182" s="1" t="s">
        <v>204</v>
      </c>
      <c r="E182" s="1">
        <v>25</v>
      </c>
      <c r="F182" s="1" t="str">
        <f t="shared" si="4"/>
        <v>Teenager</v>
      </c>
      <c r="G182" s="2">
        <v>44921</v>
      </c>
      <c r="H182" s="2" t="str">
        <f t="shared" si="5"/>
        <v>Dec</v>
      </c>
      <c r="I182" s="1" t="s">
        <v>209</v>
      </c>
      <c r="J182" s="1" t="s">
        <v>217</v>
      </c>
      <c r="K182" s="1" t="s">
        <v>400</v>
      </c>
      <c r="L182" s="1" t="s">
        <v>425</v>
      </c>
      <c r="M182" s="1" t="s">
        <v>430</v>
      </c>
      <c r="N182" s="1">
        <v>3</v>
      </c>
      <c r="O182" s="1">
        <v>3250</v>
      </c>
      <c r="P182" s="1" t="s">
        <v>617</v>
      </c>
      <c r="Q182" s="1" t="s">
        <v>638</v>
      </c>
      <c r="R182" s="1">
        <v>290001</v>
      </c>
      <c r="S182" s="1" t="b">
        <v>1</v>
      </c>
    </row>
    <row r="183" spans="1:19" x14ac:dyDescent="0.3">
      <c r="A183" s="1">
        <v>182</v>
      </c>
      <c r="B183" s="1" t="s">
        <v>183</v>
      </c>
      <c r="C183" s="1">
        <v>1749215</v>
      </c>
      <c r="D183" s="1" t="s">
        <v>204</v>
      </c>
      <c r="E183" s="1">
        <v>38</v>
      </c>
      <c r="F183" s="1" t="str">
        <f t="shared" si="4"/>
        <v>Adult</v>
      </c>
      <c r="G183" s="2">
        <v>44922</v>
      </c>
      <c r="H183" s="2" t="str">
        <f t="shared" si="5"/>
        <v>Dec</v>
      </c>
      <c r="I183" s="1" t="s">
        <v>209</v>
      </c>
      <c r="J183" s="1" t="s">
        <v>213</v>
      </c>
      <c r="K183" s="1" t="s">
        <v>401</v>
      </c>
      <c r="L183" s="1" t="s">
        <v>426</v>
      </c>
      <c r="M183" s="1" t="s">
        <v>431</v>
      </c>
      <c r="N183" s="1">
        <v>4</v>
      </c>
      <c r="O183" s="1">
        <v>520</v>
      </c>
      <c r="P183" s="1" t="s">
        <v>618</v>
      </c>
      <c r="Q183" s="1" t="s">
        <v>441</v>
      </c>
      <c r="R183" s="1">
        <v>290002</v>
      </c>
      <c r="S183" s="1" t="b">
        <v>0</v>
      </c>
    </row>
    <row r="184" spans="1:19" x14ac:dyDescent="0.3">
      <c r="A184" s="1">
        <v>183</v>
      </c>
      <c r="B184" s="1" t="s">
        <v>184</v>
      </c>
      <c r="C184" s="1">
        <v>5839211</v>
      </c>
      <c r="D184" s="1" t="s">
        <v>204</v>
      </c>
      <c r="E184" s="1">
        <v>29</v>
      </c>
      <c r="F184" s="1" t="str">
        <f t="shared" si="4"/>
        <v>Teenager</v>
      </c>
      <c r="G184" s="2">
        <v>44923</v>
      </c>
      <c r="H184" s="2" t="str">
        <f t="shared" si="5"/>
        <v>Dec</v>
      </c>
      <c r="I184" s="1" t="s">
        <v>211</v>
      </c>
      <c r="J184" s="1" t="s">
        <v>218</v>
      </c>
      <c r="K184" s="1" t="s">
        <v>402</v>
      </c>
      <c r="L184" s="1" t="s">
        <v>427</v>
      </c>
      <c r="M184" s="1" t="s">
        <v>432</v>
      </c>
      <c r="N184" s="1">
        <v>5</v>
      </c>
      <c r="O184" s="1">
        <v>1500</v>
      </c>
      <c r="P184" s="1" t="s">
        <v>619</v>
      </c>
      <c r="Q184" s="1" t="s">
        <v>639</v>
      </c>
      <c r="R184" s="1">
        <v>290003</v>
      </c>
      <c r="S184" s="1" t="b">
        <v>1</v>
      </c>
    </row>
    <row r="185" spans="1:19" x14ac:dyDescent="0.3">
      <c r="A185" s="1">
        <v>184</v>
      </c>
      <c r="B185" s="1" t="s">
        <v>185</v>
      </c>
      <c r="C185" s="1">
        <v>4938580</v>
      </c>
      <c r="D185" s="1" t="s">
        <v>205</v>
      </c>
      <c r="E185" s="1">
        <v>43</v>
      </c>
      <c r="F185" s="1" t="str">
        <f t="shared" si="4"/>
        <v>Adult</v>
      </c>
      <c r="G185" s="2">
        <v>44924</v>
      </c>
      <c r="H185" s="2" t="str">
        <f t="shared" si="5"/>
        <v>Dec</v>
      </c>
      <c r="I185" s="1" t="s">
        <v>209</v>
      </c>
      <c r="J185" s="1" t="s">
        <v>214</v>
      </c>
      <c r="K185" s="1" t="s">
        <v>403</v>
      </c>
      <c r="L185" s="1" t="s">
        <v>428</v>
      </c>
      <c r="M185" s="1" t="s">
        <v>433</v>
      </c>
      <c r="N185" s="1">
        <v>1</v>
      </c>
      <c r="O185" s="1">
        <v>3050</v>
      </c>
      <c r="P185" s="1" t="s">
        <v>620</v>
      </c>
      <c r="Q185" s="1" t="s">
        <v>640</v>
      </c>
      <c r="R185" s="1">
        <v>290004</v>
      </c>
      <c r="S185" s="1" t="b">
        <v>0</v>
      </c>
    </row>
    <row r="186" spans="1:19" x14ac:dyDescent="0.3">
      <c r="A186" s="1">
        <v>185</v>
      </c>
      <c r="B186" s="1" t="s">
        <v>186</v>
      </c>
      <c r="C186" s="1">
        <v>3029489</v>
      </c>
      <c r="D186" s="1" t="s">
        <v>204</v>
      </c>
      <c r="E186" s="1">
        <v>32</v>
      </c>
      <c r="F186" s="1" t="str">
        <f t="shared" si="4"/>
        <v>Adult</v>
      </c>
      <c r="G186" s="2">
        <v>44925</v>
      </c>
      <c r="H186" s="2" t="str">
        <f t="shared" si="5"/>
        <v>Dec</v>
      </c>
      <c r="I186" s="1" t="s">
        <v>209</v>
      </c>
      <c r="J186" s="1" t="s">
        <v>215</v>
      </c>
      <c r="K186" s="1" t="s">
        <v>404</v>
      </c>
      <c r="L186" s="1" t="s">
        <v>421</v>
      </c>
      <c r="M186" s="1" t="s">
        <v>434</v>
      </c>
      <c r="N186" s="1">
        <v>2</v>
      </c>
      <c r="O186" s="1">
        <v>410</v>
      </c>
      <c r="P186" s="1" t="s">
        <v>621</v>
      </c>
      <c r="Q186" s="1" t="s">
        <v>641</v>
      </c>
      <c r="R186" s="1">
        <v>290005</v>
      </c>
      <c r="S186" s="1" t="b">
        <v>1</v>
      </c>
    </row>
    <row r="187" spans="1:19" x14ac:dyDescent="0.3">
      <c r="A187" s="1">
        <v>186</v>
      </c>
      <c r="B187" s="1" t="s">
        <v>187</v>
      </c>
      <c r="C187" s="1">
        <v>7193849</v>
      </c>
      <c r="D187" s="1" t="s">
        <v>204</v>
      </c>
      <c r="E187" s="1">
        <v>37</v>
      </c>
      <c r="F187" s="1" t="str">
        <f t="shared" si="4"/>
        <v>Adult</v>
      </c>
      <c r="G187" s="2">
        <v>44926</v>
      </c>
      <c r="H187" s="2" t="str">
        <f t="shared" si="5"/>
        <v>Dec</v>
      </c>
      <c r="I187" s="1" t="s">
        <v>209</v>
      </c>
      <c r="J187" s="1" t="s">
        <v>213</v>
      </c>
      <c r="K187" s="1" t="s">
        <v>405</v>
      </c>
      <c r="L187" s="1" t="s">
        <v>422</v>
      </c>
      <c r="M187" s="1" t="s">
        <v>435</v>
      </c>
      <c r="N187" s="1">
        <v>3</v>
      </c>
      <c r="O187" s="1">
        <v>1650</v>
      </c>
      <c r="P187" s="1" t="s">
        <v>622</v>
      </c>
      <c r="Q187" s="1" t="s">
        <v>642</v>
      </c>
      <c r="R187" s="1">
        <v>290006</v>
      </c>
      <c r="S187" s="1" t="b">
        <v>0</v>
      </c>
    </row>
    <row r="188" spans="1:19" x14ac:dyDescent="0.3">
      <c r="A188" s="1">
        <v>187</v>
      </c>
      <c r="B188" s="1" t="s">
        <v>188</v>
      </c>
      <c r="C188" s="1">
        <v>4839214</v>
      </c>
      <c r="D188" s="1" t="s">
        <v>204</v>
      </c>
      <c r="E188" s="1">
        <v>28</v>
      </c>
      <c r="F188" s="1" t="str">
        <f t="shared" si="4"/>
        <v>Teenager</v>
      </c>
      <c r="G188" s="2">
        <v>44927</v>
      </c>
      <c r="H188" s="2" t="str">
        <f t="shared" si="5"/>
        <v>Jan</v>
      </c>
      <c r="I188" s="1" t="s">
        <v>209</v>
      </c>
      <c r="J188" s="1" t="s">
        <v>216</v>
      </c>
      <c r="K188" s="1" t="s">
        <v>406</v>
      </c>
      <c r="L188" s="1" t="s">
        <v>423</v>
      </c>
      <c r="M188" s="1" t="s">
        <v>436</v>
      </c>
      <c r="N188" s="1">
        <v>4</v>
      </c>
      <c r="O188" s="1">
        <v>3100</v>
      </c>
      <c r="P188" s="1" t="s">
        <v>623</v>
      </c>
      <c r="Q188" s="1" t="s">
        <v>643</v>
      </c>
      <c r="R188" s="1">
        <v>290007</v>
      </c>
      <c r="S188" s="1" t="b">
        <v>1</v>
      </c>
    </row>
    <row r="189" spans="1:19" x14ac:dyDescent="0.3">
      <c r="A189" s="1">
        <v>188</v>
      </c>
      <c r="B189" s="1" t="s">
        <v>189</v>
      </c>
      <c r="C189" s="1">
        <v>5942038</v>
      </c>
      <c r="D189" s="1" t="s">
        <v>205</v>
      </c>
      <c r="E189" s="1">
        <v>40</v>
      </c>
      <c r="F189" s="1" t="str">
        <f t="shared" si="4"/>
        <v>Adult</v>
      </c>
      <c r="G189" s="2">
        <v>44928</v>
      </c>
      <c r="H189" s="2" t="str">
        <f t="shared" si="5"/>
        <v>Jan</v>
      </c>
      <c r="I189" s="1" t="s">
        <v>210</v>
      </c>
      <c r="J189" s="1" t="s">
        <v>217</v>
      </c>
      <c r="K189" s="1" t="s">
        <v>407</v>
      </c>
      <c r="L189" s="1" t="s">
        <v>424</v>
      </c>
      <c r="M189" s="1" t="s">
        <v>437</v>
      </c>
      <c r="N189" s="1">
        <v>5</v>
      </c>
      <c r="O189" s="1">
        <v>425</v>
      </c>
      <c r="P189" s="1" t="s">
        <v>624</v>
      </c>
      <c r="Q189" s="1" t="s">
        <v>644</v>
      </c>
      <c r="R189" s="1">
        <v>290008</v>
      </c>
      <c r="S189" s="1" t="b">
        <v>0</v>
      </c>
    </row>
    <row r="190" spans="1:19" x14ac:dyDescent="0.3">
      <c r="A190" s="1">
        <v>189</v>
      </c>
      <c r="B190" s="1" t="s">
        <v>190</v>
      </c>
      <c r="C190" s="1">
        <v>3849215</v>
      </c>
      <c r="D190" s="1" t="s">
        <v>204</v>
      </c>
      <c r="E190" s="1">
        <v>26</v>
      </c>
      <c r="F190" s="1" t="str">
        <f t="shared" si="4"/>
        <v>Teenager</v>
      </c>
      <c r="G190" s="2">
        <v>44929</v>
      </c>
      <c r="H190" s="2" t="str">
        <f t="shared" si="5"/>
        <v>Jan</v>
      </c>
      <c r="I190" s="1" t="s">
        <v>209</v>
      </c>
      <c r="J190" s="1" t="s">
        <v>218</v>
      </c>
      <c r="K190" s="1" t="s">
        <v>408</v>
      </c>
      <c r="L190" s="1" t="s">
        <v>425</v>
      </c>
      <c r="M190" s="1" t="s">
        <v>438</v>
      </c>
      <c r="N190" s="1">
        <v>1</v>
      </c>
      <c r="O190" s="1">
        <v>1900</v>
      </c>
      <c r="P190" s="1" t="s">
        <v>625</v>
      </c>
      <c r="Q190" s="1" t="s">
        <v>645</v>
      </c>
      <c r="R190" s="1">
        <v>290009</v>
      </c>
      <c r="S190" s="1" t="b">
        <v>1</v>
      </c>
    </row>
    <row r="191" spans="1:19" x14ac:dyDescent="0.3">
      <c r="A191" s="1">
        <v>190</v>
      </c>
      <c r="B191" s="1" t="s">
        <v>191</v>
      </c>
      <c r="C191" s="1">
        <v>7293849</v>
      </c>
      <c r="D191" s="1" t="s">
        <v>204</v>
      </c>
      <c r="E191" s="1">
        <v>35</v>
      </c>
      <c r="F191" s="1" t="str">
        <f t="shared" si="4"/>
        <v>Adult</v>
      </c>
      <c r="G191" s="2">
        <v>44930</v>
      </c>
      <c r="H191" s="2" t="str">
        <f t="shared" si="5"/>
        <v>Jan</v>
      </c>
      <c r="I191" s="1" t="s">
        <v>209</v>
      </c>
      <c r="J191" s="1" t="s">
        <v>213</v>
      </c>
      <c r="K191" s="1" t="s">
        <v>409</v>
      </c>
      <c r="L191" s="1" t="s">
        <v>426</v>
      </c>
      <c r="M191" s="1" t="s">
        <v>439</v>
      </c>
      <c r="N191" s="1">
        <v>2</v>
      </c>
      <c r="O191" s="1">
        <v>2750</v>
      </c>
      <c r="P191" s="1" t="s">
        <v>626</v>
      </c>
      <c r="Q191" s="1" t="s">
        <v>646</v>
      </c>
      <c r="R191" s="1">
        <v>290010</v>
      </c>
      <c r="S191" s="1" t="b">
        <v>0</v>
      </c>
    </row>
    <row r="192" spans="1:19" x14ac:dyDescent="0.3">
      <c r="A192" s="1">
        <v>191</v>
      </c>
      <c r="B192" s="1" t="s">
        <v>192</v>
      </c>
      <c r="C192" s="1">
        <v>5029394</v>
      </c>
      <c r="D192" s="1" t="s">
        <v>204</v>
      </c>
      <c r="E192" s="1">
        <v>33</v>
      </c>
      <c r="F192" s="1" t="str">
        <f t="shared" si="4"/>
        <v>Adult</v>
      </c>
      <c r="G192" s="2">
        <v>44931</v>
      </c>
      <c r="H192" s="2" t="str">
        <f t="shared" si="5"/>
        <v>Jan</v>
      </c>
      <c r="I192" s="1" t="s">
        <v>209</v>
      </c>
      <c r="J192" s="1" t="s">
        <v>214</v>
      </c>
      <c r="K192" s="1" t="s">
        <v>410</v>
      </c>
      <c r="L192" s="1" t="s">
        <v>427</v>
      </c>
      <c r="M192" s="1" t="s">
        <v>439</v>
      </c>
      <c r="N192" s="1">
        <v>3</v>
      </c>
      <c r="O192" s="1">
        <v>499</v>
      </c>
      <c r="P192" s="1" t="s">
        <v>627</v>
      </c>
      <c r="Q192" s="1" t="s">
        <v>647</v>
      </c>
      <c r="R192" s="1">
        <v>300001</v>
      </c>
      <c r="S192" s="1" t="b">
        <v>1</v>
      </c>
    </row>
    <row r="193" spans="1:19" x14ac:dyDescent="0.3">
      <c r="A193" s="1">
        <v>192</v>
      </c>
      <c r="B193" s="1" t="s">
        <v>193</v>
      </c>
      <c r="C193" s="1">
        <v>8392049</v>
      </c>
      <c r="D193" s="1" t="s">
        <v>204</v>
      </c>
      <c r="E193" s="1">
        <v>39</v>
      </c>
      <c r="F193" s="1" t="str">
        <f t="shared" si="4"/>
        <v>Adult</v>
      </c>
      <c r="G193" s="2">
        <v>44932</v>
      </c>
      <c r="H193" s="2" t="str">
        <f t="shared" si="5"/>
        <v>Jan</v>
      </c>
      <c r="I193" s="1" t="s">
        <v>209</v>
      </c>
      <c r="J193" s="1" t="s">
        <v>215</v>
      </c>
      <c r="K193" s="1" t="s">
        <v>411</v>
      </c>
      <c r="L193" s="1" t="s">
        <v>428</v>
      </c>
      <c r="M193" s="1" t="s">
        <v>434</v>
      </c>
      <c r="N193" s="1">
        <v>4</v>
      </c>
      <c r="O193" s="1">
        <v>1550</v>
      </c>
      <c r="P193" s="1" t="s">
        <v>628</v>
      </c>
      <c r="Q193" s="1" t="s">
        <v>648</v>
      </c>
      <c r="R193" s="1">
        <v>300002</v>
      </c>
      <c r="S193" s="1" t="b">
        <v>0</v>
      </c>
    </row>
    <row r="194" spans="1:19" x14ac:dyDescent="0.3">
      <c r="A194" s="1">
        <v>193</v>
      </c>
      <c r="B194" s="1" t="s">
        <v>194</v>
      </c>
      <c r="C194" s="1">
        <v>1749216</v>
      </c>
      <c r="D194" s="1" t="s">
        <v>205</v>
      </c>
      <c r="E194" s="1">
        <v>27</v>
      </c>
      <c r="F194" s="1" t="str">
        <f t="shared" si="4"/>
        <v>Teenager</v>
      </c>
      <c r="G194" s="2">
        <v>44933</v>
      </c>
      <c r="H194" s="2" t="str">
        <f t="shared" si="5"/>
        <v>Jan</v>
      </c>
      <c r="I194" s="1" t="s">
        <v>211</v>
      </c>
      <c r="J194" s="1" t="s">
        <v>216</v>
      </c>
      <c r="K194" s="1" t="s">
        <v>412</v>
      </c>
      <c r="L194" s="1" t="s">
        <v>421</v>
      </c>
      <c r="M194" s="1" t="s">
        <v>430</v>
      </c>
      <c r="N194" s="1">
        <v>5</v>
      </c>
      <c r="O194" s="1">
        <v>3300</v>
      </c>
      <c r="P194" s="1" t="s">
        <v>556</v>
      </c>
      <c r="Q194" s="1" t="s">
        <v>649</v>
      </c>
      <c r="R194" s="1">
        <v>300003</v>
      </c>
      <c r="S194" s="1" t="b">
        <v>1</v>
      </c>
    </row>
    <row r="195" spans="1:19" x14ac:dyDescent="0.3">
      <c r="A195" s="1">
        <v>194</v>
      </c>
      <c r="B195" s="1" t="s">
        <v>195</v>
      </c>
      <c r="C195" s="1">
        <v>5839212</v>
      </c>
      <c r="D195" s="1" t="s">
        <v>204</v>
      </c>
      <c r="E195" s="1">
        <v>42</v>
      </c>
      <c r="F195" s="1" t="str">
        <f t="shared" ref="F195:F201" si="6">IF(E195&gt;=50,"Senior",IF(E195&gt;=30,"Adult","Teenager"))</f>
        <v>Adult</v>
      </c>
      <c r="G195" s="2">
        <v>44934</v>
      </c>
      <c r="H195" s="2" t="str">
        <f t="shared" ref="H195:H201" si="7">TEXT(G195,"mmm")</f>
        <v>Jan</v>
      </c>
      <c r="I195" s="1" t="s">
        <v>209</v>
      </c>
      <c r="J195" s="1" t="s">
        <v>217</v>
      </c>
      <c r="K195" s="1" t="s">
        <v>413</v>
      </c>
      <c r="L195" s="1" t="s">
        <v>422</v>
      </c>
      <c r="M195" s="1" t="s">
        <v>433</v>
      </c>
      <c r="N195" s="1">
        <v>1</v>
      </c>
      <c r="O195" s="1">
        <v>395</v>
      </c>
      <c r="P195" s="1" t="s">
        <v>629</v>
      </c>
      <c r="Q195" s="1" t="s">
        <v>650</v>
      </c>
      <c r="R195" s="1">
        <v>300004</v>
      </c>
      <c r="S195" s="1" t="b">
        <v>0</v>
      </c>
    </row>
    <row r="196" spans="1:19" x14ac:dyDescent="0.3">
      <c r="A196" s="1">
        <v>195</v>
      </c>
      <c r="B196" s="1" t="s">
        <v>196</v>
      </c>
      <c r="C196" s="1">
        <v>4938581</v>
      </c>
      <c r="D196" s="1" t="s">
        <v>204</v>
      </c>
      <c r="E196" s="1">
        <v>30</v>
      </c>
      <c r="F196" s="1" t="str">
        <f t="shared" si="6"/>
        <v>Adult</v>
      </c>
      <c r="G196" s="2">
        <v>44935</v>
      </c>
      <c r="H196" s="2" t="str">
        <f t="shared" si="7"/>
        <v>Jan</v>
      </c>
      <c r="I196" s="1" t="s">
        <v>209</v>
      </c>
      <c r="J196" s="1" t="s">
        <v>213</v>
      </c>
      <c r="K196" s="1" t="s">
        <v>414</v>
      </c>
      <c r="L196" s="1" t="s">
        <v>423</v>
      </c>
      <c r="M196" s="1" t="s">
        <v>439</v>
      </c>
      <c r="N196" s="1">
        <v>2</v>
      </c>
      <c r="O196" s="1">
        <v>1750</v>
      </c>
      <c r="P196" s="1" t="s">
        <v>630</v>
      </c>
      <c r="Q196" s="1" t="s">
        <v>651</v>
      </c>
      <c r="R196" s="1">
        <v>300005</v>
      </c>
      <c r="S196" s="1" t="b">
        <v>1</v>
      </c>
    </row>
    <row r="197" spans="1:19" x14ac:dyDescent="0.3">
      <c r="A197" s="1">
        <v>196</v>
      </c>
      <c r="B197" s="1" t="s">
        <v>197</v>
      </c>
      <c r="C197" s="1">
        <v>3029490</v>
      </c>
      <c r="D197" s="1" t="s">
        <v>204</v>
      </c>
      <c r="E197" s="1">
        <v>36</v>
      </c>
      <c r="F197" s="1" t="str">
        <f t="shared" si="6"/>
        <v>Adult</v>
      </c>
      <c r="G197" s="2">
        <v>44936</v>
      </c>
      <c r="H197" s="2" t="str">
        <f t="shared" si="7"/>
        <v>Jan</v>
      </c>
      <c r="I197" s="1" t="s">
        <v>209</v>
      </c>
      <c r="J197" s="1" t="s">
        <v>218</v>
      </c>
      <c r="K197" s="1" t="s">
        <v>415</v>
      </c>
      <c r="L197" s="1" t="s">
        <v>424</v>
      </c>
      <c r="M197" s="1" t="s">
        <v>434</v>
      </c>
      <c r="N197" s="1">
        <v>3</v>
      </c>
      <c r="O197" s="1">
        <v>3000</v>
      </c>
      <c r="P197" s="1" t="s">
        <v>631</v>
      </c>
      <c r="Q197" s="1" t="s">
        <v>652</v>
      </c>
      <c r="R197" s="1">
        <v>300006</v>
      </c>
      <c r="S197" s="1" t="b">
        <v>0</v>
      </c>
    </row>
    <row r="198" spans="1:19" x14ac:dyDescent="0.3">
      <c r="A198" s="1">
        <v>197</v>
      </c>
      <c r="B198" s="1" t="s">
        <v>198</v>
      </c>
      <c r="C198" s="1">
        <v>7193850</v>
      </c>
      <c r="D198" s="1" t="s">
        <v>204</v>
      </c>
      <c r="E198" s="1">
        <v>34</v>
      </c>
      <c r="F198" s="1" t="str">
        <f t="shared" si="6"/>
        <v>Adult</v>
      </c>
      <c r="G198" s="2">
        <v>44937</v>
      </c>
      <c r="H198" s="2" t="str">
        <f t="shared" si="7"/>
        <v>Jan</v>
      </c>
      <c r="I198" s="1" t="s">
        <v>209</v>
      </c>
      <c r="J198" s="1" t="s">
        <v>214</v>
      </c>
      <c r="K198" s="1" t="s">
        <v>416</v>
      </c>
      <c r="L198" s="1" t="s">
        <v>425</v>
      </c>
      <c r="M198" s="1" t="s">
        <v>434</v>
      </c>
      <c r="N198" s="1">
        <v>4</v>
      </c>
      <c r="O198" s="1">
        <v>520</v>
      </c>
      <c r="P198" s="1" t="s">
        <v>632</v>
      </c>
      <c r="Q198" s="1" t="s">
        <v>653</v>
      </c>
      <c r="R198" s="1">
        <v>300007</v>
      </c>
      <c r="S198" s="1" t="b">
        <v>1</v>
      </c>
    </row>
    <row r="199" spans="1:19" x14ac:dyDescent="0.3">
      <c r="A199" s="1">
        <v>198</v>
      </c>
      <c r="B199" s="1" t="s">
        <v>199</v>
      </c>
      <c r="C199" s="1">
        <v>218342</v>
      </c>
      <c r="D199" s="1" t="s">
        <v>205</v>
      </c>
      <c r="E199" s="1">
        <v>41</v>
      </c>
      <c r="F199" s="1" t="str">
        <f t="shared" si="6"/>
        <v>Adult</v>
      </c>
      <c r="G199" s="2">
        <v>44938</v>
      </c>
      <c r="H199" s="2" t="str">
        <f t="shared" si="7"/>
        <v>Jan</v>
      </c>
      <c r="I199" s="1" t="s">
        <v>210</v>
      </c>
      <c r="J199" s="1" t="s">
        <v>215</v>
      </c>
      <c r="K199" s="1" t="s">
        <v>417</v>
      </c>
      <c r="L199" s="1" t="s">
        <v>426</v>
      </c>
      <c r="M199" s="1" t="s">
        <v>434</v>
      </c>
      <c r="N199" s="1">
        <v>5</v>
      </c>
      <c r="O199" s="1">
        <v>1800</v>
      </c>
      <c r="P199" s="1" t="s">
        <v>633</v>
      </c>
      <c r="Q199" s="1" t="s">
        <v>654</v>
      </c>
      <c r="R199" s="1">
        <v>300008</v>
      </c>
      <c r="S199" s="1" t="b">
        <v>0</v>
      </c>
    </row>
    <row r="200" spans="1:19" x14ac:dyDescent="0.3">
      <c r="A200" s="1">
        <v>199</v>
      </c>
      <c r="B200" s="1" t="s">
        <v>200</v>
      </c>
      <c r="C200" s="1">
        <v>7490806</v>
      </c>
      <c r="D200" s="1" t="s">
        <v>204</v>
      </c>
      <c r="E200" s="1">
        <v>25</v>
      </c>
      <c r="F200" s="1" t="str">
        <f t="shared" si="6"/>
        <v>Teenager</v>
      </c>
      <c r="G200" s="2">
        <v>44939</v>
      </c>
      <c r="H200" s="2" t="str">
        <f t="shared" si="7"/>
        <v>Jan</v>
      </c>
      <c r="I200" s="1" t="s">
        <v>209</v>
      </c>
      <c r="J200" s="1" t="s">
        <v>213</v>
      </c>
      <c r="K200" s="1" t="s">
        <v>418</v>
      </c>
      <c r="L200" s="1" t="s">
        <v>427</v>
      </c>
      <c r="M200" s="1" t="s">
        <v>434</v>
      </c>
      <c r="N200" s="1">
        <v>1</v>
      </c>
      <c r="O200" s="1">
        <v>2850</v>
      </c>
      <c r="P200" s="1" t="s">
        <v>634</v>
      </c>
      <c r="Q200" s="1" t="s">
        <v>655</v>
      </c>
      <c r="R200" s="1">
        <v>300009</v>
      </c>
      <c r="S200" s="1" t="b">
        <v>1</v>
      </c>
    </row>
    <row r="201" spans="1:19" x14ac:dyDescent="0.3">
      <c r="A201" s="1">
        <v>200</v>
      </c>
      <c r="B201" s="1" t="s">
        <v>201</v>
      </c>
      <c r="C201" s="1">
        <v>1298130</v>
      </c>
      <c r="D201" s="1" t="s">
        <v>204</v>
      </c>
      <c r="E201" s="1">
        <v>38</v>
      </c>
      <c r="F201" s="1" t="str">
        <f t="shared" si="6"/>
        <v>Adult</v>
      </c>
      <c r="G201" s="2">
        <v>44940</v>
      </c>
      <c r="H201" s="2" t="str">
        <f t="shared" si="7"/>
        <v>Jan</v>
      </c>
      <c r="I201" s="1" t="s">
        <v>209</v>
      </c>
      <c r="J201" s="1" t="s">
        <v>216</v>
      </c>
      <c r="K201" s="1" t="s">
        <v>419</v>
      </c>
      <c r="L201" s="1" t="s">
        <v>428</v>
      </c>
      <c r="M201" s="1" t="s">
        <v>434</v>
      </c>
      <c r="N201" s="1">
        <v>2</v>
      </c>
      <c r="O201" s="1">
        <v>410</v>
      </c>
      <c r="P201" s="1" t="s">
        <v>635</v>
      </c>
      <c r="Q201" s="1" t="s">
        <v>656</v>
      </c>
      <c r="R201" s="1">
        <v>300010</v>
      </c>
      <c r="S201" s="1" t="b">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vrinda store Report 2022</vt:lpstr>
      <vt:lpstr>Sales vs orders</vt:lpstr>
      <vt:lpstr>Men Vs Women</vt:lpstr>
      <vt:lpstr>Order Status</vt:lpstr>
      <vt:lpstr>Sales  top 5 state</vt:lpstr>
      <vt:lpstr>AgeAnd Gender</vt:lpstr>
      <vt:lpstr>Channel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singh</dc:creator>
  <cp:lastModifiedBy>varsha singh</cp:lastModifiedBy>
  <dcterms:created xsi:type="dcterms:W3CDTF">2025-12-30T04:13:45Z</dcterms:created>
  <dcterms:modified xsi:type="dcterms:W3CDTF">2025-12-30T15:53:16Z</dcterms:modified>
</cp:coreProperties>
</file>